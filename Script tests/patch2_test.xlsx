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d1bde497248299/Claude Code Stuff/ScriptBreakdown/"/>
    </mc:Choice>
  </mc:AlternateContent>
  <xr:revisionPtr revIDLastSave="2" documentId="11_1A958B1E693F16EE3F74D37384EF912FB137DD44" xr6:coauthVersionLast="47" xr6:coauthVersionMax="47" xr10:uidLastSave="{CB386983-D5C4-43A5-8C29-436BF41D27CC}"/>
  <bookViews>
    <workbookView xWindow="3870" yWindow="2150" windowWidth="19200" windowHeight="11170" xr2:uid="{00000000-000D-0000-FFFF-FFFF00000000}"/>
  </bookViews>
  <sheets>
    <sheet name="Summary" sheetId="1" r:id="rId1"/>
    <sheet name="Props" sheetId="2" r:id="rId2"/>
    <sheet name="Art Dept" sheetId="4" r:id="rId3"/>
    <sheet name="Wardrobe" sheetId="3" r:id="rId4"/>
    <sheet name="Camera" sheetId="5" r:id="rId5"/>
    <sheet name="Grip &amp; Electric" sheetId="6" r:id="rId6"/>
    <sheet name="Stunts &amp; Safety" sheetId="8" r:id="rId7"/>
    <sheet name="Locations" sheetId="7" r:id="rId8"/>
    <sheet name="VFX" sheetId="9" r:id="rId9"/>
    <sheet name="Extras" sheetId="10" r:id="rId10"/>
    <sheet name="Transportation" sheetId="11" r:id="rId11"/>
    <sheet name="Catering" sheetId="12" r:id="rId12"/>
    <sheet name="Sound" sheetId="13" r:id="rId13"/>
    <sheet name="Miscellaneou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C11" i="1" s="1"/>
  <c r="C15" i="1"/>
  <c r="B15" i="1"/>
  <c r="C14" i="1"/>
  <c r="B14" i="1"/>
  <c r="C13" i="1"/>
  <c r="B13" i="1"/>
  <c r="C12" i="1"/>
  <c r="B12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17" i="1" l="1"/>
</calcChain>
</file>

<file path=xl/sharedStrings.xml><?xml version="1.0" encoding="utf-8"?>
<sst xmlns="http://schemas.openxmlformats.org/spreadsheetml/2006/main" count="210" uniqueCount="42">
  <si>
    <t>PRODUCTION BREAKDOWN SUMMARY</t>
  </si>
  <si>
    <t>Department</t>
  </si>
  <si>
    <t>Line Items</t>
  </si>
  <si>
    <t>Subtotal</t>
  </si>
  <si>
    <t>Props</t>
  </si>
  <si>
    <t>Wardrobe</t>
  </si>
  <si>
    <t>Art Dept</t>
  </si>
  <si>
    <t>Camera</t>
  </si>
  <si>
    <t>Grip &amp; Electric</t>
  </si>
  <si>
    <t>Locations</t>
  </si>
  <si>
    <t>Stunts &amp; Safety</t>
  </si>
  <si>
    <t>VFX</t>
  </si>
  <si>
    <t>Extras</t>
  </si>
  <si>
    <t>Transportation</t>
  </si>
  <si>
    <t>Catering</t>
  </si>
  <si>
    <t>Sound</t>
  </si>
  <si>
    <t>Miscellaneous</t>
  </si>
  <si>
    <t>NOTE: Shoot Days (col N) must be filled manually for day-rate items before totals are accurate.</t>
  </si>
  <si>
    <t>GRAND TOTAL</t>
  </si>
  <si>
    <t>Scene Number</t>
  </si>
  <si>
    <t>Item Name</t>
  </si>
  <si>
    <t>Description</t>
  </si>
  <si>
    <t>Quantity</t>
  </si>
  <si>
    <t>Unit Type</t>
  </si>
  <si>
    <t>Unit Price</t>
  </si>
  <si>
    <t>Total Cost</t>
  </si>
  <si>
    <t>Vendor</t>
  </si>
  <si>
    <t>Vendor URL</t>
  </si>
  <si>
    <t>Script Page</t>
  </si>
  <si>
    <t>Script Quote</t>
  </si>
  <si>
    <t>Notes</t>
  </si>
  <si>
    <t>Confidence</t>
  </si>
  <si>
    <t>Shoot Days</t>
  </si>
  <si>
    <t>1</t>
  </si>
  <si>
    <t>Background extras</t>
  </si>
  <si>
    <t>Crowd for plaza.</t>
  </si>
  <si>
    <t>Day Rate</t>
  </si>
  <si>
    <t>hundreds fill the plaza</t>
  </si>
  <si>
    <t>[DAY RATE - fill in Shoot Days (col N)]</t>
  </si>
  <si>
    <t>Medium</t>
  </si>
  <si>
    <t>PRINCIPAL CAST FEES</t>
  </si>
  <si>
    <t>Enter manually from agent/talent contracts — not estimable by this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</si>
</sst>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385723"/>
      <name val="Calibri"/>
    </font>
    <font>
      <u/>
      <sz val="10"/>
      <color rgb="FF0563C1"/>
      <name val="Calibri"/>
    </font>
    <font>
      <i/>
      <sz val="10"/>
      <name val="Calibri"/>
    </font>
    <font>
      <b/>
      <sz val="10"/>
      <color rgb="FF974706"/>
      <name val="Calibri"/>
    </font>
    <font>
      <b/>
      <i/>
      <sz val="10"/>
      <color rgb="FF7F6000"/>
      <name val="Calibri"/>
    </font>
    <font>
      <i/>
      <sz val="10"/>
      <color rgb="FF7F6000"/>
      <name val="Calibri"/>
    </font>
    <font>
      <i/>
      <sz val="9"/>
      <color rgb="FF974706"/>
      <name val="Calibri"/>
    </font>
    <font>
      <b/>
      <sz val="10"/>
      <name val="Calibri"/>
    </font>
    <font>
      <b/>
      <sz val="10"/>
      <color rgb="FF38572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11" fillId="0" borderId="0" xfId="0" applyFont="1"/>
    <xf numFmtId="164" fontId="12" fillId="0" borderId="0" xfId="0" applyNumberFormat="1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164" fontId="3" fillId="3" borderId="0" xfId="0" applyNumberFormat="1" applyFont="1" applyFill="1"/>
    <xf numFmtId="164" fontId="4" fillId="3" borderId="0" xfId="0" applyNumberFormat="1" applyFont="1" applyFill="1"/>
    <xf numFmtId="0" fontId="5" fillId="3" borderId="0" xfId="0" applyFont="1" applyFill="1"/>
    <xf numFmtId="0" fontId="6" fillId="3" borderId="0" xfId="0" applyFont="1" applyFill="1" applyAlignment="1">
      <alignment wrapText="1"/>
    </xf>
    <xf numFmtId="0" fontId="7" fillId="3" borderId="0" xfId="0" applyFont="1" applyFill="1"/>
    <xf numFmtId="1" fontId="3" fillId="3" borderId="0" xfId="0" applyNumberFormat="1" applyFont="1" applyFill="1"/>
    <xf numFmtId="0" fontId="0" fillId="4" borderId="0" xfId="0" applyFill="1"/>
    <xf numFmtId="0" fontId="8" fillId="4" borderId="0" xfId="0" applyFont="1" applyFill="1"/>
    <xf numFmtId="0" fontId="9" fillId="4" borderId="0" xfId="0" applyFont="1" applyFill="1" applyAlignment="1">
      <alignment wrapText="1"/>
    </xf>
    <xf numFmtId="0" fontId="1" fillId="0" borderId="0" xfId="0" applyFont="1"/>
    <xf numFmtId="0" fontId="0" fillId="0" borderId="0" xfId="0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Becket%20Nelson\OneDrive\Claude%20Code%20Stuff\ScriptBreakdown\mock_scrip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sqref="A1:C1"/>
    </sheetView>
  </sheetViews>
  <sheetFormatPr defaultRowHeight="14.5" x14ac:dyDescent="0.35"/>
  <cols>
    <col min="1" max="1" width="22" customWidth="1"/>
    <col min="2" max="2" width="14" customWidth="1"/>
    <col min="3" max="3" width="18" customWidth="1"/>
  </cols>
  <sheetData>
    <row r="1" spans="1:3" ht="18.5" x14ac:dyDescent="0.45">
      <c r="A1" s="18" t="s">
        <v>0</v>
      </c>
      <c r="B1" s="19"/>
      <c r="C1" s="19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3">
        <f>COUNTA(Props!B2:B1000)</f>
        <v>0</v>
      </c>
      <c r="C3" s="4">
        <f>SUM(Props!G2:G1000)</f>
        <v>0</v>
      </c>
    </row>
    <row r="4" spans="1:3" x14ac:dyDescent="0.35">
      <c r="A4" s="2" t="s">
        <v>5</v>
      </c>
      <c r="B4" s="3">
        <f>COUNTA(Wardrobe!B2:B1000)</f>
        <v>0</v>
      </c>
      <c r="C4" s="4">
        <f>SUM(Wardrobe!G2:G1000)</f>
        <v>0</v>
      </c>
    </row>
    <row r="5" spans="1:3" x14ac:dyDescent="0.35">
      <c r="A5" s="2" t="s">
        <v>6</v>
      </c>
      <c r="B5" s="3">
        <f>COUNTA('Art Dept'!B2:B1000)</f>
        <v>0</v>
      </c>
      <c r="C5" s="4">
        <f>SUM('Art Dept'!G2:G1000)</f>
        <v>0</v>
      </c>
    </row>
    <row r="6" spans="1:3" x14ac:dyDescent="0.35">
      <c r="A6" s="2" t="s">
        <v>7</v>
      </c>
      <c r="B6" s="3">
        <f>COUNTA(Camera!B2:B1000)</f>
        <v>0</v>
      </c>
      <c r="C6" s="4">
        <f>SUM(Camera!G2:G1000)</f>
        <v>0</v>
      </c>
    </row>
    <row r="7" spans="1:3" x14ac:dyDescent="0.35">
      <c r="A7" s="2" t="s">
        <v>8</v>
      </c>
      <c r="B7" s="3">
        <f>COUNTA('Grip &amp; Electric'!B2:B1000)</f>
        <v>0</v>
      </c>
      <c r="C7" s="4">
        <f>SUM('Grip &amp; Electric'!G2:G1000)</f>
        <v>0</v>
      </c>
    </row>
    <row r="8" spans="1:3" x14ac:dyDescent="0.35">
      <c r="A8" s="2" t="s">
        <v>9</v>
      </c>
      <c r="B8" s="3">
        <f>COUNTA(Locations!B2:B1000)</f>
        <v>0</v>
      </c>
      <c r="C8" s="4">
        <f>SUM(Locations!G2:G1000)</f>
        <v>0</v>
      </c>
    </row>
    <row r="9" spans="1:3" x14ac:dyDescent="0.35">
      <c r="A9" s="2" t="s">
        <v>10</v>
      </c>
      <c r="B9" s="3">
        <f>COUNTA('Stunts &amp; Safety'!B2:B1000)</f>
        <v>0</v>
      </c>
      <c r="C9" s="4">
        <f>SUM('Stunts &amp; Safety'!G2:G1000)</f>
        <v>0</v>
      </c>
    </row>
    <row r="10" spans="1:3" x14ac:dyDescent="0.35">
      <c r="A10" s="2" t="s">
        <v>11</v>
      </c>
      <c r="B10" s="3">
        <f>COUNTA(VFX!B2:B1000)</f>
        <v>0</v>
      </c>
      <c r="C10" s="4">
        <f>SUM(VFX!G2:G1000)</f>
        <v>0</v>
      </c>
    </row>
    <row r="11" spans="1:3" x14ac:dyDescent="0.35">
      <c r="A11" s="2" t="s">
        <v>12</v>
      </c>
      <c r="B11" s="3">
        <f>COUNTA(Extras!B2:B1000)</f>
        <v>2</v>
      </c>
      <c r="C11" s="4">
        <f>SUM(Extras!G2:G1000)</f>
        <v>0</v>
      </c>
    </row>
    <row r="12" spans="1:3" x14ac:dyDescent="0.35">
      <c r="A12" s="2" t="s">
        <v>13</v>
      </c>
      <c r="B12" s="3">
        <f>COUNTA(Transportation!B2:B1000)</f>
        <v>0</v>
      </c>
      <c r="C12" s="4">
        <f>SUM(Transportation!G2:G1000)</f>
        <v>0</v>
      </c>
    </row>
    <row r="13" spans="1:3" x14ac:dyDescent="0.35">
      <c r="A13" s="2" t="s">
        <v>14</v>
      </c>
      <c r="B13" s="3">
        <f>COUNTA(Catering!B2:B1000)</f>
        <v>0</v>
      </c>
      <c r="C13" s="4">
        <f>SUM(Catering!G2:G1000)</f>
        <v>0</v>
      </c>
    </row>
    <row r="14" spans="1:3" x14ac:dyDescent="0.35">
      <c r="A14" s="2" t="s">
        <v>15</v>
      </c>
      <c r="B14" s="3">
        <f>COUNTA(Sound!B2:B1000)</f>
        <v>0</v>
      </c>
      <c r="C14" s="4">
        <f>SUM(Sound!G2:G1000)</f>
        <v>0</v>
      </c>
    </row>
    <row r="15" spans="1:3" x14ac:dyDescent="0.35">
      <c r="A15" s="2" t="s">
        <v>16</v>
      </c>
      <c r="B15" s="3">
        <f>COUNTA(Miscellaneous!B2:B1000)</f>
        <v>0</v>
      </c>
      <c r="C15" s="4">
        <f>SUM(Miscellaneous!G2:G1000)</f>
        <v>0</v>
      </c>
    </row>
    <row r="16" spans="1:3" x14ac:dyDescent="0.35">
      <c r="A16" s="20" t="s">
        <v>17</v>
      </c>
      <c r="B16" s="19"/>
      <c r="C16" s="19"/>
    </row>
    <row r="17" spans="1:3" x14ac:dyDescent="0.35">
      <c r="A17" s="5" t="s">
        <v>18</v>
      </c>
      <c r="C17" s="6">
        <f>SUM(C3:C15)</f>
        <v>0</v>
      </c>
    </row>
  </sheetData>
  <mergeCells count="2">
    <mergeCell ref="A1:C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x14ac:dyDescent="0.35">
      <c r="A2" s="7" t="s">
        <v>33</v>
      </c>
      <c r="B2" s="7" t="s">
        <v>34</v>
      </c>
      <c r="C2" s="8" t="s">
        <v>35</v>
      </c>
      <c r="D2" s="7">
        <v>100</v>
      </c>
      <c r="E2" s="7" t="s">
        <v>36</v>
      </c>
      <c r="F2" s="9"/>
      <c r="G2" s="10">
        <f>D2*F2*N2</f>
        <v>0</v>
      </c>
      <c r="H2" s="7"/>
      <c r="I2" s="7"/>
      <c r="J2" s="11">
        <v>2</v>
      </c>
      <c r="K2" s="12" t="s">
        <v>37</v>
      </c>
      <c r="L2" s="8" t="s">
        <v>38</v>
      </c>
      <c r="M2" s="13" t="s">
        <v>39</v>
      </c>
      <c r="N2" s="14"/>
    </row>
    <row r="3" spans="1:14" ht="39.5" x14ac:dyDescent="0.35">
      <c r="A3" s="15"/>
      <c r="B3" s="16" t="s">
        <v>40</v>
      </c>
      <c r="C3" s="15"/>
      <c r="D3" s="15"/>
      <c r="E3" s="15"/>
      <c r="F3" s="15"/>
      <c r="G3" s="15"/>
      <c r="H3" s="15"/>
      <c r="I3" s="15"/>
      <c r="J3" s="15"/>
      <c r="K3" s="15"/>
      <c r="L3" s="17" t="s">
        <v>41</v>
      </c>
      <c r="M3" s="15"/>
      <c r="N3" s="15"/>
    </row>
  </sheetData>
  <hyperlinks>
    <hyperlink ref="J2" r:id="rId1" display="C:\Users\Becket Nelson\OneDrive\Claude Code Stuff\ScriptBreakdown\mock_script.pdf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0" customWidth="1"/>
    <col min="4" max="4" width="10" customWidth="1"/>
    <col min="5" max="5" width="14" customWidth="1"/>
    <col min="6" max="7" width="12" customWidth="1"/>
    <col min="8" max="8" width="20" customWidth="1"/>
    <col min="9" max="9" width="30" customWidth="1"/>
    <col min="10" max="10" width="12" customWidth="1"/>
    <col min="11" max="11" width="45" customWidth="1"/>
    <col min="12" max="12" width="30" customWidth="1"/>
    <col min="13" max="13" width="12" customWidth="1"/>
    <col min="14" max="14" width="10" customWidth="1"/>
  </cols>
  <sheetData>
    <row r="1" spans="1:14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Props</vt:lpstr>
      <vt:lpstr>Art Dept</vt:lpstr>
      <vt:lpstr>Wardrobe</vt:lpstr>
      <vt:lpstr>Camera</vt:lpstr>
      <vt:lpstr>Grip &amp; Electric</vt:lpstr>
      <vt:lpstr>Stunts &amp; Safety</vt:lpstr>
      <vt:lpstr>Locations</vt:lpstr>
      <vt:lpstr>VFX</vt:lpstr>
      <vt:lpstr>Extras</vt:lpstr>
      <vt:lpstr>Transportation</vt:lpstr>
      <vt:lpstr>Catering</vt:lpstr>
      <vt:lpstr>Sound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Becket Nelson</cp:lastModifiedBy>
  <dcterms:created xsi:type="dcterms:W3CDTF">2026-04-25T20:23:34Z</dcterms:created>
  <dcterms:modified xsi:type="dcterms:W3CDTF">2026-04-27T00:47:34Z</dcterms:modified>
</cp:coreProperties>
</file>
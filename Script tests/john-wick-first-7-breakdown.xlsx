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SHEET" sheetId="1" state="visible" r:id="rId1"/>
    <sheet name="SCENE BREAKDOWN" sheetId="2" state="visible" r:id="rId2"/>
    <sheet name="1100 – Development" sheetId="3" state="visible" r:id="rId3"/>
    <sheet name="1200 – Story &amp; Rights" sheetId="4" state="visible" r:id="rId4"/>
    <sheet name="1400 – Producers Unit" sheetId="5" state="visible" r:id="rId5"/>
    <sheet name="1500 – Directors Unit" sheetId="6" state="visible" r:id="rId6"/>
    <sheet name="1600 – Talent (Cast)" sheetId="7" state="visible" r:id="rId7"/>
    <sheet name="2100 – Production Staff" sheetId="8" state="visible" r:id="rId8"/>
    <sheet name="2200 – Art Direction" sheetId="9" state="visible" r:id="rId9"/>
    <sheet name="2300 – Set Construction" sheetId="10" state="visible" r:id="rId10"/>
    <sheet name="2400 – Set Decoration" sheetId="11" state="visible" r:id="rId11"/>
    <sheet name="2500 – Props" sheetId="12" state="visible" r:id="rId12"/>
    <sheet name="2600 – Camera" sheetId="13" state="visible" r:id="rId13"/>
    <sheet name="2700 – Electric" sheetId="14" state="visible" r:id="rId14"/>
    <sheet name="2800 – Grip" sheetId="15" state="visible" r:id="rId15"/>
    <sheet name="2900 – Production Sound" sheetId="16" state="visible" r:id="rId16"/>
    <sheet name="2950 – Stunts &amp; Safety" sheetId="17" state="visible" r:id="rId17"/>
    <sheet name="3000 – Mechanical FX" sheetId="18" state="visible" r:id="rId18"/>
    <sheet name="3100 – Special VFX" sheetId="19" state="visible" r:id="rId19"/>
    <sheet name="3200 – Set Operations" sheetId="20" state="visible" r:id="rId20"/>
    <sheet name="3300 – Wardrobe" sheetId="21" state="visible" r:id="rId21"/>
    <sheet name="3400 – Makeup &amp; Hair" sheetId="22" state="visible" r:id="rId22"/>
    <sheet name="3500 – Locations" sheetId="23" state="visible" r:id="rId23"/>
    <sheet name="3600 – Transportation" sheetId="24" state="visible" r:id="rId24"/>
    <sheet name="3800 – Studio Facilities" sheetId="25" state="visible" r:id="rId25"/>
    <sheet name="3900 – Atmosphere" sheetId="26" state="visible" r:id="rId26"/>
    <sheet name="5100 – Editing" sheetId="27" state="visible" r:id="rId27"/>
    <sheet name="5200 – Post Film &amp; Lab" sheetId="28" state="visible" r:id="rId28"/>
    <sheet name="5300 – Post Sound" sheetId="29" state="visible" r:id="rId29"/>
    <sheet name="5400 – Music" sheetId="30" state="visible" r:id="rId30"/>
    <sheet name="5500 – Titles" sheetId="31" state="visible" r:id="rId31"/>
    <sheet name="5600 – Opticals &amp; Post VFX" sheetId="32" state="visible" r:id="rId32"/>
    <sheet name="5700 – Post Video" sheetId="33" state="visible" r:id="rId33"/>
    <sheet name="6100 – Insurance" sheetId="34" state="visible" r:id="rId34"/>
    <sheet name="6200 – Legal" sheetId="35" state="visible" r:id="rId35"/>
    <sheet name="6300 – Publicity" sheetId="36" state="visible" r:id="rId36"/>
    <sheet name="6400 – Miscellaneou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sz val="10"/>
    </font>
    <font>
      <i val="1"/>
      <color rgb="006C757D"/>
      <sz val="10"/>
    </font>
    <font>
      <color rgb="000563C1"/>
      <sz val="10"/>
      <u val="single"/>
    </font>
    <font>
      <color rgb="006C757D"/>
      <sz val="10"/>
    </font>
    <font>
      <color rgb="00385723"/>
      <sz val="10"/>
    </font>
    <font>
      <i val="1"/>
      <sz val="10"/>
    </font>
    <font>
      <b val="1"/>
      <color rgb="00375623"/>
      <sz val="10"/>
    </font>
    <font>
      <b val="1"/>
      <color rgb="00974706"/>
      <sz val="10"/>
    </font>
    <font>
      <b val="1"/>
      <color rgb="009C0006"/>
      <sz val="10"/>
    </font>
    <font>
      <b val="1"/>
      <sz val="10"/>
    </font>
    <font>
      <b val="1"/>
      <color rgb="00385723"/>
      <sz val="10"/>
    </font>
    <font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00000"/>
        <bgColor rgb="00C00000"/>
      </patternFill>
    </fill>
    <fill>
      <patternFill patternType="solid">
        <fgColor rgb="009C6500"/>
        <bgColor rgb="009C6500"/>
      </patternFill>
    </fill>
    <fill>
      <patternFill patternType="solid">
        <fgColor rgb="00375623"/>
        <bgColor rgb="00375623"/>
      </patternFill>
    </fill>
    <fill>
      <patternFill patternType="solid">
        <fgColor rgb="002F5597"/>
        <bgColor rgb="002F5597"/>
      </patternFill>
    </fill>
    <fill>
      <patternFill patternType="solid">
        <fgColor rgb="00833C00"/>
        <bgColor rgb="00833C00"/>
      </patternFill>
    </fill>
    <fill>
      <patternFill patternType="solid">
        <fgColor rgb="003E1153"/>
        <bgColor rgb="003E1153"/>
      </patternFill>
    </fill>
    <fill>
      <patternFill patternType="solid">
        <fgColor rgb="00843C0C"/>
        <bgColor rgb="00843C0C"/>
      </patternFill>
    </fill>
    <fill>
      <patternFill patternType="solid">
        <fgColor rgb="00843C78"/>
        <bgColor rgb="00843C78"/>
      </patternFill>
    </fill>
    <fill>
      <patternFill patternType="solid">
        <fgColor rgb="00006E6F"/>
        <bgColor rgb="00006E6F"/>
      </patternFill>
    </fill>
    <fill>
      <patternFill patternType="solid">
        <fgColor rgb="00404040"/>
        <bgColor rgb="00404040"/>
      </patternFill>
    </fill>
    <fill>
      <patternFill patternType="solid">
        <fgColor rgb="00006B8A"/>
        <bgColor rgb="00006B8A"/>
      </patternFill>
    </fill>
    <fill>
      <patternFill patternType="solid">
        <fgColor rgb="00F1F3F5"/>
        <bgColor rgb="00F1F3F5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top"/>
    </xf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164" fontId="7" fillId="0" borderId="0" pivotButton="0" quotePrefix="0" xfId="0"/>
    <xf numFmtId="0" fontId="12" fillId="18" borderId="0" pivotButton="0" quotePrefix="0" xfId="0"/>
    <xf numFmtId="0" fontId="0" fillId="18" borderId="0" pivotButton="0" quotePrefix="0" xfId="0"/>
    <xf numFmtId="164" fontId="13" fillId="18" borderId="0" pivotButton="0" quotePrefix="0" xfId="0"/>
    <xf numFmtId="0" fontId="14" fillId="2" borderId="0" pivotButton="0" quotePrefix="0" xfId="0"/>
    <xf numFmtId="164" fontId="14" fillId="2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14" borderId="0" pivotButton="0" quotePrefix="0" xfId="0"/>
    <xf numFmtId="0" fontId="4" fillId="14" borderId="0" applyAlignment="1" pivotButton="0" quotePrefix="0" xfId="0">
      <alignment vertical="top" wrapText="1"/>
    </xf>
    <xf numFmtId="0" fontId="0" fillId="14" borderId="0" pivotButton="0" quotePrefix="0" xfId="0"/>
    <xf numFmtId="0" fontId="6" fillId="15" borderId="0" applyAlignment="1" pivotButton="0" quotePrefix="0" xfId="0">
      <alignment horizontal="center" vertical="top"/>
    </xf>
    <xf numFmtId="164" fontId="0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9" fillId="16" borderId="0" applyAlignment="1" pivotButton="0" quotePrefix="0" xfId="0">
      <alignment horizontal="center" vertical="top"/>
    </xf>
    <xf numFmtId="0" fontId="6" fillId="17" borderId="0" applyAlignment="1" pivotButton="0" quotePrefix="0" xfId="0">
      <alignment horizontal="center" vertical="top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Relationship Type="http://schemas.openxmlformats.org/officeDocument/2006/relationships/hyperlink" Target="file:///C:/Users/Becket%20Nelson/OneDrive/Claude%20Code%20Stuff/ScriptBreakdown/john-wick-first-7.pdf" TargetMode="External" Id="rId2" /><Relationship Type="http://schemas.openxmlformats.org/officeDocument/2006/relationships/hyperlink" Target="file:///C:/Users/Becket%20Nelson/OneDrive/Claude%20Code%20Stuff/ScriptBreakdown/john-wick-first-7.pdf" TargetMode="External" Id="rId3" /><Relationship Type="http://schemas.openxmlformats.org/officeDocument/2006/relationships/hyperlink" Target="file:///C:/Users/Becket%20Nelson/OneDrive/Claude%20Code%20Stuff/ScriptBreakdown/john-wick-first-7.pdf" TargetMode="External" Id="rId4" /><Relationship Type="http://schemas.openxmlformats.org/officeDocument/2006/relationships/hyperlink" Target="file:///C:/Users/Becket%20Nelson/OneDrive/Claude%20Code%20Stuff/ScriptBreakdown/john-wick-first-7.pdf" TargetMode="External" Id="rId5" /><Relationship Type="http://schemas.openxmlformats.org/officeDocument/2006/relationships/hyperlink" Target="file:///C:/Users/Becket%20Nelson/OneDrive/Claude%20Code%20Stuff/ScriptBreakdown/john-wick-first-7.pdf" TargetMode="External" Id="rId6" /><Relationship Type="http://schemas.openxmlformats.org/officeDocument/2006/relationships/hyperlink" Target="file:///C:/Users/Becket%20Nelson/OneDrive/Claude%20Code%20Stuff/ScriptBreakdown/john-wick-first-7.pdf" TargetMode="External" Id="rId7" /><Relationship Type="http://schemas.openxmlformats.org/officeDocument/2006/relationships/hyperlink" Target="file:///C:/Users/Becket%20Nelson/OneDrive/Claude%20Code%20Stuff/ScriptBreakdown/john-wick-first-7.pdf" TargetMode="External" Id="rId8" /><Relationship Type="http://schemas.openxmlformats.org/officeDocument/2006/relationships/hyperlink" Target="file:///C:/Users/Becket%20Nelson/OneDrive/Claude%20Code%20Stuff/ScriptBreakdown/john-wick-first-7.pdf" TargetMode="External" Id="rId9" /><Relationship Type="http://schemas.openxmlformats.org/officeDocument/2006/relationships/hyperlink" Target="file:///C:/Users/Becket%20Nelson/OneDrive/Claude%20Code%20Stuff/ScriptBreakdown/john-wick-first-7.pdf" TargetMode="External" Id="rId10" /><Relationship Type="http://schemas.openxmlformats.org/officeDocument/2006/relationships/hyperlink" Target="file:///C:/Users/Becket%20Nelson/OneDrive/Claude%20Code%20Stuff/ScriptBreakdown/john-wick-first-7.pdf" TargetMode="External" Id="rId11" /><Relationship Type="http://schemas.openxmlformats.org/officeDocument/2006/relationships/hyperlink" Target="file:///C:/Users/Becket%20Nelson/OneDrive/Claude%20Code%20Stuff/ScriptBreakdown/john-wick-first-7.pdf" TargetMode="External" Id="rId12" /><Relationship Type="http://schemas.openxmlformats.org/officeDocument/2006/relationships/hyperlink" Target="file:///C:/Users/Becket%20Nelson/OneDrive/Claude%20Code%20Stuff/ScriptBreakdown/john-wick-first-7.pdf" TargetMode="External" Id="rId13" /><Relationship Type="http://schemas.openxmlformats.org/officeDocument/2006/relationships/hyperlink" Target="file:///C:/Users/Becket%20Nelson/OneDrive/Claude%20Code%20Stuff/ScriptBreakdown/john-wick-first-7.pdf" TargetMode="External" Id="rId14" /><Relationship Type="http://schemas.openxmlformats.org/officeDocument/2006/relationships/hyperlink" Target="file:///C:/Users/Becket%20Nelson/OneDrive/Claude%20Code%20Stuff/ScriptBreakdown/john-wick-first-7.pdf" TargetMode="External" Id="rId15" /><Relationship Type="http://schemas.openxmlformats.org/officeDocument/2006/relationships/hyperlink" Target="file:///C:/Users/Becket%20Nelson/OneDrive/Claude%20Code%20Stuff/ScriptBreakdown/john-wick-first-7.pdf" TargetMode="External" Id="rId16" /><Relationship Type="http://schemas.openxmlformats.org/officeDocument/2006/relationships/hyperlink" Target="file:///C:/Users/Becket%20Nelson/OneDrive/Claude%20Code%20Stuff/ScriptBreakdown/john-wick-first-7.pdf" TargetMode="External" Id="rId17" /><Relationship Type="http://schemas.openxmlformats.org/officeDocument/2006/relationships/hyperlink" Target="file:///C:/Users/Becket%20Nelson/OneDrive/Claude%20Code%20Stuff/ScriptBreakdown/john-wick-first-7.pdf" TargetMode="External" Id="rId18" /><Relationship Type="http://schemas.openxmlformats.org/officeDocument/2006/relationships/hyperlink" Target="file:///C:/Users/Becket%20Nelson/OneDrive/Claude%20Code%20Stuff/ScriptBreakdown/john-wick-first-7.pdf" TargetMode="External" Id="rId19" /></Relationships>
</file>

<file path=xl/worksheets/_rels/sheet7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Relationship Type="http://schemas.openxmlformats.org/officeDocument/2006/relationships/hyperlink" Target="file:///C:/Users/Becket%20Nelson/OneDrive/Claude%20Code%20Stuff/ScriptBreakdown/john-wick-first-7.pdf" TargetMode="External" Id="rId2" /><Relationship Type="http://schemas.openxmlformats.org/officeDocument/2006/relationships/hyperlink" Target="file:///C:/Users/Becket%20Nelson/OneDrive/Claude%20Code%20Stuff/ScriptBreakdown/john-wick-first-7.pdf" TargetMode="External" Id="rId3" /><Relationship Type="http://schemas.openxmlformats.org/officeDocument/2006/relationships/hyperlink" Target="file:///C:/Users/Becket%20Nelson/OneDrive/Claude%20Code%20Stuff/ScriptBreakdown/john-wick-first-7.pdf" TargetMode="External" Id="rId4" /></Relationships>
</file>

<file path=xl/worksheets/_rels/sheet9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Relationship Type="http://schemas.openxmlformats.org/officeDocument/2006/relationships/hyperlink" Target="file:///C:/Users/Becket%20Nelson/OneDrive/Claude%20Code%20Stuff/ScriptBreakdown/john-wick-first-7.pdf" TargetMode="External" Id="rId2" /><Relationship Type="http://schemas.openxmlformats.org/officeDocument/2006/relationships/hyperlink" Target="file:///C:/Users/Becket%20Nelson/OneDrive/Claude%20Code%20Stuff/ScriptBreakdown/john-wick-first-7.pdf" TargetMode="External" Id="rId3" /><Relationship Type="http://schemas.openxmlformats.org/officeDocument/2006/relationships/hyperlink" Target="file:///C:/Users/Becket%20Nelson/OneDrive/Claude%20Code%20Stuff/ScriptBreakdown/john-wick-first-7.pdf" TargetMode="External" Id="rId4" /></Relationships>
</file>

<file path=xl/worksheets/_rels/sheet11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Relationship Type="http://schemas.openxmlformats.org/officeDocument/2006/relationships/hyperlink" Target="file:///C:/Users/Becket%20Nelson/OneDrive/Claude%20Code%20Stuff/ScriptBreakdown/john-wick-first-7.pdf" TargetMode="External" Id="rId2" /><Relationship Type="http://schemas.openxmlformats.org/officeDocument/2006/relationships/hyperlink" Target="file:///C:/Users/Becket%20Nelson/OneDrive/Claude%20Code%20Stuff/ScriptBreakdown/john-wick-first-7.pdf" TargetMode="External" Id="rId3" /><Relationship Type="http://schemas.openxmlformats.org/officeDocument/2006/relationships/hyperlink" Target="file:///C:/Users/Becket%20Nelson/OneDrive/Claude%20Code%20Stuff/ScriptBreakdown/john-wick-first-7.pdf" TargetMode="External" Id="rId4" /><Relationship Type="http://schemas.openxmlformats.org/officeDocument/2006/relationships/hyperlink" Target="file:///C:/Users/Becket%20Nelson/OneDrive/Claude%20Code%20Stuff/ScriptBreakdown/john-wick-first-7.pdf" TargetMode="External" Id="rId5" /><Relationship Type="http://schemas.openxmlformats.org/officeDocument/2006/relationships/hyperlink" Target="file:///C:/Users/Becket%20Nelson/OneDrive/Claude%20Code%20Stuff/ScriptBreakdown/john-wick-first-7.pdf" TargetMode="External" Id="rId6" /><Relationship Type="http://schemas.openxmlformats.org/officeDocument/2006/relationships/hyperlink" Target="file:///C:/Users/Becket%20Nelson/OneDrive/Claude%20Code%20Stuff/ScriptBreakdown/john-wick-first-7.pdf" TargetMode="External" Id="rId7" /><Relationship Type="http://schemas.openxmlformats.org/officeDocument/2006/relationships/hyperlink" Target="file:///C:/Users/Becket%20Nelson/OneDrive/Claude%20Code%20Stuff/ScriptBreakdown/john-wick-first-7.pdf" TargetMode="External" Id="rId8" /></Relationships>
</file>

<file path=xl/worksheets/_rels/sheet12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Relationship Type="http://schemas.openxmlformats.org/officeDocument/2006/relationships/hyperlink" Target="file:///C:/Users/Becket%20Nelson/OneDrive/Claude%20Code%20Stuff/ScriptBreakdown/john-wick-first-7.pdf" TargetMode="External" Id="rId2" /><Relationship Type="http://schemas.openxmlformats.org/officeDocument/2006/relationships/hyperlink" Target="file:///C:/Users/Becket%20Nelson/OneDrive/Claude%20Code%20Stuff/ScriptBreakdown/john-wick-first-7.pdf" TargetMode="External" Id="rId3" /><Relationship Type="http://schemas.openxmlformats.org/officeDocument/2006/relationships/hyperlink" Target="file:///C:/Users/Becket%20Nelson/OneDrive/Claude%20Code%20Stuff/ScriptBreakdown/john-wick-first-7.pdf" TargetMode="External" Id="rId4" /><Relationship Type="http://schemas.openxmlformats.org/officeDocument/2006/relationships/hyperlink" Target="file:///C:/Users/Becket%20Nelson/OneDrive/Claude%20Code%20Stuff/ScriptBreakdown/john-wick-first-7.pdf" TargetMode="External" Id="rId5" /><Relationship Type="http://schemas.openxmlformats.org/officeDocument/2006/relationships/hyperlink" Target="file:///C:/Users/Becket%20Nelson/OneDrive/Claude%20Code%20Stuff/ScriptBreakdown/john-wick-first-7.pdf" TargetMode="External" Id="rId6" /><Relationship Type="http://schemas.openxmlformats.org/officeDocument/2006/relationships/hyperlink" Target="file:///C:/Users/Becket%20Nelson/OneDrive/Claude%20Code%20Stuff/ScriptBreakdown/john-wick-first-7.pdf" TargetMode="External" Id="rId7" /><Relationship Type="http://schemas.openxmlformats.org/officeDocument/2006/relationships/hyperlink" Target="file:///C:/Users/Becket%20Nelson/OneDrive/Claude%20Code%20Stuff/ScriptBreakdown/john-wick-first-7.pdf" TargetMode="External" Id="rId8" /><Relationship Type="http://schemas.openxmlformats.org/officeDocument/2006/relationships/hyperlink" Target="file:///C:/Users/Becket%20Nelson/OneDrive/Claude%20Code%20Stuff/ScriptBreakdown/john-wick-first-7.pdf" TargetMode="External" Id="rId9" /><Relationship Type="http://schemas.openxmlformats.org/officeDocument/2006/relationships/hyperlink" Target="file:///C:/Users/Becket%20Nelson/OneDrive/Claude%20Code%20Stuff/ScriptBreakdown/john-wick-first-7.pdf" TargetMode="External" Id="rId10" /><Relationship Type="http://schemas.openxmlformats.org/officeDocument/2006/relationships/hyperlink" Target="file:///C:/Users/Becket%20Nelson/OneDrive/Claude%20Code%20Stuff/ScriptBreakdown/john-wick-first-7.pdf" TargetMode="External" Id="rId11" /><Relationship Type="http://schemas.openxmlformats.org/officeDocument/2006/relationships/hyperlink" Target="file:///C:/Users/Becket%20Nelson/OneDrive/Claude%20Code%20Stuff/ScriptBreakdown/john-wick-first-7.pdf" TargetMode="External" Id="rId12" /><Relationship Type="http://schemas.openxmlformats.org/officeDocument/2006/relationships/hyperlink" Target="file:///C:/Users/Becket%20Nelson/OneDrive/Claude%20Code%20Stuff/ScriptBreakdown/john-wick-first-7.pdf" TargetMode="External" Id="rId13" /><Relationship Type="http://schemas.openxmlformats.org/officeDocument/2006/relationships/hyperlink" Target="file:///C:/Users/Becket%20Nelson/OneDrive/Claude%20Code%20Stuff/ScriptBreakdown/john-wick-first-7.pdf" TargetMode="External" Id="rId14" /><Relationship Type="http://schemas.openxmlformats.org/officeDocument/2006/relationships/hyperlink" Target="file:///C:/Users/Becket%20Nelson/OneDrive/Claude%20Code%20Stuff/ScriptBreakdown/john-wick-first-7.pdf" TargetMode="External" Id="rId15" /><Relationship Type="http://schemas.openxmlformats.org/officeDocument/2006/relationships/hyperlink" Target="file:///C:/Users/Becket%20Nelson/OneDrive/Claude%20Code%20Stuff/ScriptBreakdown/john-wick-first-7.pdf" TargetMode="External" Id="rId16" /><Relationship Type="http://schemas.openxmlformats.org/officeDocument/2006/relationships/hyperlink" Target="file:///C:/Users/Becket%20Nelson/OneDrive/Claude%20Code%20Stuff/ScriptBreakdown/john-wick-first-7.pdf" TargetMode="External" Id="rId17" /><Relationship Type="http://schemas.openxmlformats.org/officeDocument/2006/relationships/hyperlink" Target="file:///C:/Users/Becket%20Nelson/OneDrive/Claude%20Code%20Stuff/ScriptBreakdown/john-wick-first-7.pdf" TargetMode="External" Id="rId18" /><Relationship Type="http://schemas.openxmlformats.org/officeDocument/2006/relationships/hyperlink" Target="file:///C:/Users/Becket%20Nelson/OneDrive/Claude%20Code%20Stuff/ScriptBreakdown/john-wick-first-7.pdf" TargetMode="External" Id="rId19" /><Relationship Type="http://schemas.openxmlformats.org/officeDocument/2006/relationships/hyperlink" Target="file:///C:/Users/Becket%20Nelson/OneDrive/Claude%20Code%20Stuff/ScriptBreakdown/john-wick-first-7.pdf" TargetMode="External" Id="rId20" /><Relationship Type="http://schemas.openxmlformats.org/officeDocument/2006/relationships/hyperlink" Target="file:///C:/Users/Becket%20Nelson/OneDrive/Claude%20Code%20Stuff/ScriptBreakdown/john-wick-first-7.pdf" TargetMode="External" Id="rId21" /><Relationship Type="http://schemas.openxmlformats.org/officeDocument/2006/relationships/hyperlink" Target="file:///C:/Users/Becket%20Nelson/OneDrive/Claude%20Code%20Stuff/ScriptBreakdown/john-wick-first-7.pdf" TargetMode="External" Id="rId22" /><Relationship Type="http://schemas.openxmlformats.org/officeDocument/2006/relationships/hyperlink" Target="file:///C:/Users/Becket%20Nelson/OneDrive/Claude%20Code%20Stuff/ScriptBreakdown/john-wick-first-7.pdf" TargetMode="External" Id="rId23" /></Relationships>
</file>

<file path=xl/worksheets/_rels/sheet14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Relationship Type="http://schemas.openxmlformats.org/officeDocument/2006/relationships/hyperlink" Target="file:///C:/Users/Becket%20Nelson/OneDrive/Claude%20Code%20Stuff/ScriptBreakdown/john-wick-first-7.pdf" TargetMode="Externa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Relationship Type="http://schemas.openxmlformats.org/officeDocument/2006/relationships/hyperlink" Target="file:///C:/Users/Becket%20Nelson/OneDrive/Claude%20Code%20Stuff/ScriptBreakdown/john-wick-first-7.pdf" TargetMode="External" Id="rId2" /><Relationship Type="http://schemas.openxmlformats.org/officeDocument/2006/relationships/hyperlink" Target="file:///C:/Users/Becket%20Nelson/OneDrive/Claude%20Code%20Stuff/ScriptBreakdown/john-wick-first-7.pdf" TargetMode="External" Id="rId3" /><Relationship Type="http://schemas.openxmlformats.org/officeDocument/2006/relationships/hyperlink" Target="file:///C:/Users/Becket%20Nelson/OneDrive/Claude%20Code%20Stuff/ScriptBreakdown/john-wick-first-7.pdf" TargetMode="External" Id="rId4" /></Relationships>
</file>

<file path=xl/worksheets/_rels/sheet24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john-wick-first-7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6" customWidth="1" min="3" max="3"/>
  </cols>
  <sheetData>
    <row r="1">
      <c r="A1" s="1" t="inlineStr">
        <is>
          <t>PRODUCTION BUDGET — TOP SHEET</t>
        </is>
      </c>
    </row>
    <row r="2">
      <c r="A2" s="2" t="inlineStr">
        <is>
          <t>Category</t>
        </is>
      </c>
      <c r="B2" s="2" t="inlineStr">
        <is>
          <t>Account(s)</t>
        </is>
      </c>
      <c r="C2" s="2" t="inlineStr">
        <is>
          <t>Total</t>
        </is>
      </c>
    </row>
    <row r="3">
      <c r="A3" s="3" t="inlineStr">
        <is>
          <t>ABOVE THE LINE</t>
        </is>
      </c>
      <c r="B3" s="4" t="n"/>
      <c r="C3" s="4" t="n"/>
    </row>
    <row r="4">
      <c r="A4" s="5" t="inlineStr">
        <is>
          <t>1100-1200 – Development + Story &amp; Rights</t>
        </is>
      </c>
      <c r="C4" s="6">
        <f>SUM('1100 – Development'!H:H,'1200 – Story &amp; Rights'!H:H)</f>
        <v/>
      </c>
    </row>
    <row r="5">
      <c r="A5" s="5" t="inlineStr">
        <is>
          <t>1400 – Producers Unit</t>
        </is>
      </c>
      <c r="C5" s="6">
        <f>SUM('1400 – Producers Unit'!H:H)</f>
        <v/>
      </c>
    </row>
    <row r="6">
      <c r="A6" s="5" t="inlineStr">
        <is>
          <t>1500 – Directors Unit</t>
        </is>
      </c>
      <c r="C6" s="6">
        <f>SUM('1500 – Directors Unit'!H:H)</f>
        <v/>
      </c>
    </row>
    <row r="7">
      <c r="A7" s="5" t="inlineStr">
        <is>
          <t>1600 – Talent (Cast)</t>
        </is>
      </c>
      <c r="C7" s="6">
        <f>SUM('1600 – Talent (Cast)'!H:H)</f>
        <v/>
      </c>
    </row>
    <row r="8">
      <c r="A8" s="7" t="inlineStr">
        <is>
          <t>TOTAL ABOVE THE LINE</t>
        </is>
      </c>
      <c r="B8" s="8" t="n"/>
      <c r="C8" s="9">
        <f>SUM(C4:C7)</f>
        <v/>
      </c>
    </row>
    <row r="10">
      <c r="A10" s="3" t="inlineStr">
        <is>
          <t>BELOW THE LINE</t>
        </is>
      </c>
      <c r="B10" s="4" t="n"/>
      <c r="C10" s="4" t="n"/>
    </row>
    <row r="11">
      <c r="A11" s="5" t="inlineStr">
        <is>
          <t>2100 – Production Staff</t>
        </is>
      </c>
      <c r="C11" s="6">
        <f>SUM('2100 – Production Staff'!H:H)</f>
        <v/>
      </c>
    </row>
    <row r="12">
      <c r="A12" s="5" t="inlineStr">
        <is>
          <t>2200-2400 – Art Direction + Set Construction + Set Decoration</t>
        </is>
      </c>
      <c r="C12" s="6">
        <f>SUM('2200 – Art Direction'!H:H,'2300 – Set Construction'!H:H,'2400 – Set Decoration'!H:H)</f>
        <v/>
      </c>
    </row>
    <row r="13">
      <c r="A13" s="5" t="inlineStr">
        <is>
          <t>2500 – Props</t>
        </is>
      </c>
      <c r="C13" s="6">
        <f>SUM('2500 – Props'!H:H)</f>
        <v/>
      </c>
    </row>
    <row r="14">
      <c r="A14" s="5" t="inlineStr">
        <is>
          <t>2600 – Camera</t>
        </is>
      </c>
      <c r="C14" s="6">
        <f>SUM('2600 – Camera'!H:H)</f>
        <v/>
      </c>
    </row>
    <row r="15">
      <c r="A15" s="5" t="inlineStr">
        <is>
          <t>2700 – Electric</t>
        </is>
      </c>
      <c r="C15" s="6">
        <f>SUM('2700 – Electric'!H:H)</f>
        <v/>
      </c>
    </row>
    <row r="16">
      <c r="A16" s="5" t="inlineStr">
        <is>
          <t>2800 – Grip</t>
        </is>
      </c>
      <c r="C16" s="6">
        <f>SUM('2800 – Grip'!H:H)</f>
        <v/>
      </c>
    </row>
    <row r="17">
      <c r="A17" s="5" t="inlineStr">
        <is>
          <t>2900 – Production Sound</t>
        </is>
      </c>
      <c r="C17" s="6">
        <f>SUM('2900 – Production Sound'!H:H)</f>
        <v/>
      </c>
    </row>
    <row r="18">
      <c r="A18" s="5" t="inlineStr">
        <is>
          <t>2950 – Stunts &amp; Safety</t>
        </is>
      </c>
      <c r="C18" s="6">
        <f>SUM('2950 – Stunts &amp; Safety'!H:H)</f>
        <v/>
      </c>
    </row>
    <row r="19">
      <c r="A19" s="5" t="inlineStr">
        <is>
          <t>3000-3100 – Mechanical FX + Special VFX</t>
        </is>
      </c>
      <c r="C19" s="6">
        <f>SUM('3000 – Mechanical FX'!H:H,'3100 – Special VFX'!H:H)</f>
        <v/>
      </c>
    </row>
    <row r="20">
      <c r="A20" s="5" t="inlineStr">
        <is>
          <t>3200 – Set Operations</t>
        </is>
      </c>
      <c r="C20" s="6">
        <f>SUM('3200 – Set Operations'!H:H)</f>
        <v/>
      </c>
    </row>
    <row r="21">
      <c r="A21" s="5" t="inlineStr">
        <is>
          <t>3300 – Wardrobe</t>
        </is>
      </c>
      <c r="C21" s="6">
        <f>SUM('3300 – Wardrobe'!H:H)</f>
        <v/>
      </c>
    </row>
    <row r="22">
      <c r="A22" s="5" t="inlineStr">
        <is>
          <t>3400 – Makeup &amp; Hair</t>
        </is>
      </c>
      <c r="C22" s="6">
        <f>SUM('3400 – Makeup &amp; Hair'!H:H)</f>
        <v/>
      </c>
    </row>
    <row r="23">
      <c r="A23" s="5" t="inlineStr">
        <is>
          <t>3500 – Locations</t>
        </is>
      </c>
      <c r="C23" s="6">
        <f>SUM('3500 – Locations'!H:H)</f>
        <v/>
      </c>
    </row>
    <row r="24">
      <c r="A24" s="5" t="inlineStr">
        <is>
          <t>3600 – Transportation</t>
        </is>
      </c>
      <c r="C24" s="6">
        <f>SUM('3600 – Transportation'!H:H)</f>
        <v/>
      </c>
    </row>
    <row r="25">
      <c r="A25" s="5" t="inlineStr">
        <is>
          <t>3800-3900 – Studio Facilities + Atmosphere</t>
        </is>
      </c>
      <c r="C25" s="6">
        <f>SUM('3800 – Studio Facilities'!H:H,'3900 – Atmosphere'!H:H)</f>
        <v/>
      </c>
    </row>
    <row r="26">
      <c r="A26" s="7" t="inlineStr">
        <is>
          <t>TOTAL BELOW THE LINE</t>
        </is>
      </c>
      <c r="B26" s="8" t="n"/>
      <c r="C26" s="9">
        <f>SUM(C11:C25)</f>
        <v/>
      </c>
    </row>
    <row r="28">
      <c r="A28" s="3" t="inlineStr">
        <is>
          <t>POST PRODUCTION</t>
        </is>
      </c>
      <c r="B28" s="4" t="n"/>
      <c r="C28" s="4" t="n"/>
    </row>
    <row r="29">
      <c r="A29" s="5" t="inlineStr">
        <is>
          <t>5100-5700 – Post Production (Editing, Lab, Sound, Music, Titles, Opticals)</t>
        </is>
      </c>
      <c r="C29" s="6">
        <f>SUM('5100 – Editing'!H:H,'5200 – Post Film &amp; Lab'!H:H,'5300 – Post Sound'!H:H,'5400 – Music'!H:H,'5500 – Titles'!H:H,'5600 – Opticals &amp; Post VFX'!H:H,'5700 – Post Video'!H:H)</f>
        <v/>
      </c>
    </row>
    <row r="30">
      <c r="A30" s="7" t="inlineStr">
        <is>
          <t>TOTAL POST PRODUCTION</t>
        </is>
      </c>
      <c r="B30" s="8" t="n"/>
      <c r="C30" s="9">
        <f>SUM(C29)</f>
        <v/>
      </c>
    </row>
    <row r="32">
      <c r="A32" s="3" t="inlineStr">
        <is>
          <t>OTHER</t>
        </is>
      </c>
      <c r="B32" s="4" t="n"/>
      <c r="C32" s="4" t="n"/>
    </row>
    <row r="33">
      <c r="A33" s="5" t="inlineStr">
        <is>
          <t>6100 – Insurance</t>
        </is>
      </c>
      <c r="C33" s="6">
        <f>SUM('6100 – Insurance'!H:H)</f>
        <v/>
      </c>
    </row>
    <row r="34">
      <c r="A34" s="5" t="inlineStr">
        <is>
          <t>6200 – Legal</t>
        </is>
      </c>
      <c r="C34" s="6">
        <f>SUM('6200 – Legal'!H:H)</f>
        <v/>
      </c>
    </row>
    <row r="35">
      <c r="A35" s="5" t="inlineStr">
        <is>
          <t>6300 – Publicity</t>
        </is>
      </c>
      <c r="C35" s="6">
        <f>SUM('6300 – Publicity'!H:H)</f>
        <v/>
      </c>
    </row>
    <row r="36">
      <c r="A36" s="5" t="inlineStr">
        <is>
          <t>6400 – Contingency (10%)</t>
        </is>
      </c>
      <c r="C36" s="6">
        <f>(C8+C26+C30)*0.10</f>
        <v/>
      </c>
    </row>
    <row r="37">
      <c r="A37" s="10" t="inlineStr">
        <is>
          <t>GRAND TOTAL</t>
        </is>
      </c>
      <c r="B37" s="4" t="n"/>
      <c r="C37" s="11">
        <f>C8+C26+C30+C33+C34+C35+C36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10" customWidth="1" min="4" max="4"/>
    <col width="10" customWidth="1" min="5" max="5"/>
    <col width="10" customWidth="1" min="6" max="6"/>
    <col width="22" customWidth="1" min="7" max="7"/>
    <col width="16" customWidth="1" min="8" max="8"/>
    <col width="22" customWidth="1" min="9" max="9"/>
    <col width="16" customWidth="1" min="10" max="10"/>
    <col width="18" customWidth="1" min="11" max="11"/>
    <col width="13" customWidth="1" min="12" max="12"/>
    <col width="20" customWidth="1" min="13" max="13"/>
    <col width="16" customWidth="1" min="14" max="14"/>
    <col width="16" customWidth="1" min="15" max="15"/>
    <col width="20" customWidth="1" min="16" max="16"/>
    <col width="18" customWidth="1" min="17" max="17"/>
    <col width="14" customWidth="1" min="18" max="18"/>
    <col width="12" customWidth="1" min="19" max="19"/>
    <col width="14" customWidth="1" min="20" max="20"/>
    <col width="30" customWidth="1" min="21" max="21"/>
    <col width="11" customWidth="1" min="22" max="22"/>
  </cols>
  <sheetData>
    <row r="1">
      <c r="A1" s="12" t="inlineStr">
        <is>
          <t>Scene #</t>
        </is>
      </c>
      <c r="B1" s="12" t="inlineStr">
        <is>
          <t>Scene Heading</t>
        </is>
      </c>
      <c r="C1" s="12" t="inlineStr">
        <is>
          <t>Int/Ext</t>
        </is>
      </c>
      <c r="D1" s="12" t="inlineStr">
        <is>
          <t>Day/Night</t>
        </is>
      </c>
      <c r="E1" s="12" t="inlineStr">
        <is>
          <t>Page Count</t>
        </is>
      </c>
      <c r="F1" s="12" t="inlineStr">
        <is>
          <t>Script Day</t>
        </is>
      </c>
      <c r="G1" s="13" t="inlineStr">
        <is>
          <t>Cast</t>
        </is>
      </c>
      <c r="H1" s="14" t="inlineStr">
        <is>
          <t>Extras / Background</t>
        </is>
      </c>
      <c r="I1" s="15" t="inlineStr">
        <is>
          <t>Props</t>
        </is>
      </c>
      <c r="J1" s="16" t="inlineStr">
        <is>
          <t>Practical FX</t>
        </is>
      </c>
      <c r="K1" s="17" t="inlineStr">
        <is>
          <t>Wardrobe</t>
        </is>
      </c>
      <c r="L1" s="18" t="inlineStr">
        <is>
          <t>Animals</t>
        </is>
      </c>
      <c r="M1" s="19" t="inlineStr">
        <is>
          <t>Vehicles / Picture Cars</t>
        </is>
      </c>
      <c r="N1" s="20" t="inlineStr">
        <is>
          <t>Special Makeup</t>
        </is>
      </c>
      <c r="O1" s="21" t="inlineStr">
        <is>
          <t>Special Camera</t>
        </is>
      </c>
      <c r="P1" s="22" t="inlineStr">
        <is>
          <t>Stunts</t>
        </is>
      </c>
      <c r="Q1" s="23" t="inlineStr">
        <is>
          <t>VFX</t>
        </is>
      </c>
      <c r="R1" s="12" t="inlineStr">
        <is>
          <t>Location Type</t>
        </is>
      </c>
      <c r="S1" s="12" t="inlineStr">
        <is>
          <t>Shooting Day</t>
        </is>
      </c>
      <c r="T1" s="12" t="inlineStr">
        <is>
          <t>Est. Shoot Hours</t>
        </is>
      </c>
      <c r="U1" s="12" t="inlineStr">
        <is>
          <t>Notes / Flags</t>
        </is>
      </c>
      <c r="V1" s="12" t="inlineStr">
        <is>
          <t>Script Page</t>
        </is>
      </c>
    </row>
    <row r="2" ht="45" customHeight="1">
      <c r="A2" s="24" t="inlineStr">
        <is>
          <t>1</t>
        </is>
      </c>
      <c r="B2" s="24" t="inlineStr">
        <is>
          <t>EXT. THE COUNTRYSIDE - ESTABLISHING - EARLY DAY</t>
        </is>
      </c>
      <c r="C2" s="24" t="inlineStr">
        <is>
          <t>EXT</t>
        </is>
      </c>
      <c r="D2" s="24" t="inlineStr">
        <is>
          <t>DAY</t>
        </is>
      </c>
      <c r="E2" s="24" t="inlineStr">
        <is>
          <t>1/8</t>
        </is>
      </c>
      <c r="F2" s="24" t="inlineStr">
        <is>
          <t>Day 1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inlineStr">
        <is>
          <t>Practical</t>
        </is>
      </c>
      <c r="S2" s="25" t="inlineStr">
        <is>
          <t>[SCHEDULE]</t>
        </is>
      </c>
      <c r="T2" s="25" t="inlineStr">
        <is>
          <t>[SCHEDULE]</t>
        </is>
      </c>
      <c r="U2" s="24" t="inlineStr">
        <is>
          <t>EXT public/rural space — location permit may be required</t>
        </is>
      </c>
      <c r="V2" s="26" t="n">
        <v>2</v>
      </c>
    </row>
    <row r="3" ht="45" customHeight="1">
      <c r="A3" s="24" t="inlineStr">
        <is>
          <t>2</t>
        </is>
      </c>
      <c r="B3" s="24" t="inlineStr">
        <is>
          <t>EXT. THE WICK HOME - ESTABLISHING - EARLY DAY</t>
        </is>
      </c>
      <c r="C3" s="24" t="inlineStr">
        <is>
          <t>EXT</t>
        </is>
      </c>
      <c r="D3" s="24" t="inlineStr">
        <is>
          <t>DAY</t>
        </is>
      </c>
      <c r="E3" s="24" t="inlineStr">
        <is>
          <t>2/8</t>
        </is>
      </c>
      <c r="F3" s="24" t="inlineStr">
        <is>
          <t>Day 1</t>
        </is>
      </c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inlineStr">
        <is>
          <t>Practical</t>
        </is>
      </c>
      <c r="S3" s="25" t="inlineStr">
        <is>
          <t>[SCHEDULE]</t>
        </is>
      </c>
      <c r="T3" s="25" t="inlineStr">
        <is>
          <t>[SCHEDULE]</t>
        </is>
      </c>
      <c r="U3" s="24" t="inlineStr">
        <is>
          <t>EXT farmhouse — location permit required</t>
        </is>
      </c>
      <c r="V3" s="26" t="n">
        <v>2</v>
      </c>
    </row>
    <row r="4" ht="45" customHeight="1">
      <c r="A4" s="24" t="inlineStr">
        <is>
          <t>3</t>
        </is>
      </c>
      <c r="B4" s="24" t="inlineStr">
        <is>
          <t>INT. THE WICK HOME - THE MASTER BEDROOM - CONTINUOUS</t>
        </is>
      </c>
      <c r="C4" s="24" t="inlineStr">
        <is>
          <t>INT</t>
        </is>
      </c>
      <c r="D4" s="24" t="inlineStr">
        <is>
          <t>DAY</t>
        </is>
      </c>
      <c r="E4" s="24" t="inlineStr">
        <is>
          <t>3/8</t>
        </is>
      </c>
      <c r="F4" s="24" t="inlineStr">
        <is>
          <t>Day 1</t>
        </is>
      </c>
      <c r="G4" s="24" t="inlineStr">
        <is>
          <t>JOHN WICK</t>
        </is>
      </c>
      <c r="H4" s="24" t="n"/>
      <c r="I4" s="24" t="inlineStr">
        <is>
          <t>antique electric clock
weathered robe
slippers</t>
        </is>
      </c>
      <c r="J4" s="24" t="n"/>
      <c r="K4" s="24" t="inlineStr">
        <is>
          <t>John in weathered robe and slippers</t>
        </is>
      </c>
      <c r="L4" s="24" t="n"/>
      <c r="M4" s="24" t="n"/>
      <c r="N4" s="24" t="inlineStr">
        <is>
          <t>aged/tired look for John — early sixties, three-day beard</t>
        </is>
      </c>
      <c r="O4" s="24" t="n"/>
      <c r="P4" s="24" t="n"/>
      <c r="Q4" s="24" t="n"/>
      <c r="R4" s="24" t="inlineStr">
        <is>
          <t>Practical</t>
        </is>
      </c>
      <c r="S4" s="25" t="inlineStr">
        <is>
          <t>[SCHEDULE]</t>
        </is>
      </c>
      <c r="T4" s="25" t="inlineStr">
        <is>
          <t>[SCHEDULE]</t>
        </is>
      </c>
      <c r="U4" s="24" t="n"/>
      <c r="V4" s="26" t="n">
        <v>2</v>
      </c>
    </row>
    <row r="5" ht="45" customHeight="1">
      <c r="A5" s="24" t="inlineStr">
        <is>
          <t>4</t>
        </is>
      </c>
      <c r="B5" s="24" t="inlineStr">
        <is>
          <t>INT. THE WICK HOME - THE HALLWAY - CONTINUOUS</t>
        </is>
      </c>
      <c r="C5" s="24" t="inlineStr">
        <is>
          <t>INT</t>
        </is>
      </c>
      <c r="D5" s="24" t="inlineStr">
        <is>
          <t>DAY</t>
        </is>
      </c>
      <c r="E5" s="24" t="inlineStr">
        <is>
          <t>2/8</t>
        </is>
      </c>
      <c r="F5" s="24" t="inlineStr">
        <is>
          <t>Day 1</t>
        </is>
      </c>
      <c r="G5" s="24" t="inlineStr">
        <is>
          <t>JOHN WICK</t>
        </is>
      </c>
      <c r="H5" s="24" t="n"/>
      <c r="I5" s="24" t="inlineStr">
        <is>
          <t>family photographs (wall display, dusty)</t>
        </is>
      </c>
      <c r="J5" s="24" t="n"/>
      <c r="K5" s="24" t="inlineStr">
        <is>
          <t>John in robe and slippers</t>
        </is>
      </c>
      <c r="L5" s="24" t="n"/>
      <c r="M5" s="24" t="n"/>
      <c r="N5" s="24" t="n"/>
      <c r="O5" s="24" t="n"/>
      <c r="P5" s="24" t="n"/>
      <c r="Q5" s="24" t="n"/>
      <c r="R5" s="24" t="inlineStr">
        <is>
          <t>Practical</t>
        </is>
      </c>
      <c r="S5" s="25" t="inlineStr">
        <is>
          <t>[SCHEDULE]</t>
        </is>
      </c>
      <c r="T5" s="25" t="inlineStr">
        <is>
          <t>[SCHEDULE]</t>
        </is>
      </c>
      <c r="U5" s="24" t="n"/>
      <c r="V5" s="26" t="n">
        <v>2</v>
      </c>
    </row>
    <row r="6" ht="45" customHeight="1">
      <c r="A6" s="24" t="inlineStr">
        <is>
          <t>5</t>
        </is>
      </c>
      <c r="B6" s="24" t="inlineStr">
        <is>
          <t>INT. THE WICK HOME - THE LIVING ROOM - CONTINUOUS</t>
        </is>
      </c>
      <c r="C6" s="24" t="inlineStr">
        <is>
          <t>INT</t>
        </is>
      </c>
      <c r="D6" s="24" t="inlineStr">
        <is>
          <t>DAY</t>
        </is>
      </c>
      <c r="E6" s="24" t="inlineStr">
        <is>
          <t>1/8</t>
        </is>
      </c>
      <c r="F6" s="24" t="inlineStr">
        <is>
          <t>Day 1</t>
        </is>
      </c>
      <c r="G6" s="24" t="inlineStr">
        <is>
          <t>JOHN WICK</t>
        </is>
      </c>
      <c r="H6" s="24" t="n"/>
      <c r="I6" s="24" t="n"/>
      <c r="J6" s="24" t="n"/>
      <c r="K6" s="24" t="inlineStr">
        <is>
          <t>John in robe and slippers</t>
        </is>
      </c>
      <c r="L6" s="24" t="n"/>
      <c r="M6" s="24" t="n"/>
      <c r="N6" s="24" t="n"/>
      <c r="O6" s="24" t="n"/>
      <c r="P6" s="24" t="n"/>
      <c r="Q6" s="24" t="n"/>
      <c r="R6" s="24" t="inlineStr">
        <is>
          <t>Practical</t>
        </is>
      </c>
      <c r="S6" s="25" t="inlineStr">
        <is>
          <t>[SCHEDULE]</t>
        </is>
      </c>
      <c r="T6" s="25" t="inlineStr">
        <is>
          <t>[SCHEDULE]</t>
        </is>
      </c>
      <c r="U6" s="24" t="n"/>
      <c r="V6" s="26" t="n">
        <v>2</v>
      </c>
    </row>
    <row r="7" ht="45" customHeight="1">
      <c r="A7" s="24" t="inlineStr">
        <is>
          <t>6</t>
        </is>
      </c>
      <c r="B7" s="24" t="inlineStr">
        <is>
          <t>EXT. THE WICK HOME - CONTINUOUS</t>
        </is>
      </c>
      <c r="C7" s="24" t="inlineStr">
        <is>
          <t>EXT</t>
        </is>
      </c>
      <c r="D7" s="24" t="inlineStr">
        <is>
          <t>DAY</t>
        </is>
      </c>
      <c r="E7" s="24" t="inlineStr">
        <is>
          <t>1/8</t>
        </is>
      </c>
      <c r="F7" s="24" t="inlineStr">
        <is>
          <t>Day 1</t>
        </is>
      </c>
      <c r="G7" s="24" t="inlineStr">
        <is>
          <t>JOHN WICK</t>
        </is>
      </c>
      <c r="H7" s="24" t="n"/>
      <c r="I7" s="24" t="inlineStr">
        <is>
          <t>newspaper</t>
        </is>
      </c>
      <c r="J7" s="24" t="n"/>
      <c r="K7" s="24" t="inlineStr">
        <is>
          <t>John in robe and slippers</t>
        </is>
      </c>
      <c r="L7" s="24" t="n"/>
      <c r="M7" s="24" t="n"/>
      <c r="N7" s="24" t="n"/>
      <c r="O7" s="24" t="n"/>
      <c r="P7" s="24" t="n"/>
      <c r="Q7" s="24" t="n"/>
      <c r="R7" s="24" t="inlineStr">
        <is>
          <t>Practical</t>
        </is>
      </c>
      <c r="S7" s="25" t="inlineStr">
        <is>
          <t>[SCHEDULE]</t>
        </is>
      </c>
      <c r="T7" s="25" t="inlineStr">
        <is>
          <t>[SCHEDULE]</t>
        </is>
      </c>
      <c r="U7" s="24" t="inlineStr">
        <is>
          <t>EXT — location permit required</t>
        </is>
      </c>
      <c r="V7" s="26" t="n">
        <v>3</v>
      </c>
    </row>
    <row r="8" ht="45" customHeight="1">
      <c r="A8" s="24" t="inlineStr">
        <is>
          <t>7</t>
        </is>
      </c>
      <c r="B8" s="24" t="inlineStr">
        <is>
          <t>INT. THE WICK HOME - THE KITCHEN - CONTINUOUS</t>
        </is>
      </c>
      <c r="C8" s="24" t="inlineStr">
        <is>
          <t>INT</t>
        </is>
      </c>
      <c r="D8" s="24" t="inlineStr">
        <is>
          <t>DAY</t>
        </is>
      </c>
      <c r="E8" s="24" t="inlineStr">
        <is>
          <t>4/8</t>
        </is>
      </c>
      <c r="F8" s="24" t="inlineStr">
        <is>
          <t>Day 1</t>
        </is>
      </c>
      <c r="G8" s="24" t="inlineStr">
        <is>
          <t>JOHN WICK</t>
        </is>
      </c>
      <c r="H8" s="24" t="n"/>
      <c r="I8" s="24" t="inlineStr">
        <is>
          <t>newspaper
old percolator
Folgers Coffee (hero brand)
coffee cup
wall-mounted telephone</t>
        </is>
      </c>
      <c r="J8" s="24" t="inlineStr">
        <is>
          <t>percolator bubbling — practical hero prop effect</t>
        </is>
      </c>
      <c r="K8" s="24" t="inlineStr">
        <is>
          <t>John in robe and slippers</t>
        </is>
      </c>
      <c r="L8" s="24" t="n"/>
      <c r="M8" s="24" t="n"/>
      <c r="N8" s="24" t="n"/>
      <c r="O8" s="24" t="n"/>
      <c r="P8" s="24" t="n"/>
      <c r="Q8" s="24" t="n"/>
      <c r="R8" s="24" t="inlineStr">
        <is>
          <t>Practical</t>
        </is>
      </c>
      <c r="S8" s="25" t="inlineStr">
        <is>
          <t>[SCHEDULE]</t>
        </is>
      </c>
      <c r="T8" s="25" t="inlineStr">
        <is>
          <t>[SCHEDULE]</t>
        </is>
      </c>
      <c r="U8" s="24" t="inlineStr">
        <is>
          <t>Hero brand product placement clearance needed — Folgers Coffee</t>
        </is>
      </c>
      <c r="V8" s="26" t="n">
        <v>3</v>
      </c>
    </row>
    <row r="9" ht="45" customHeight="1">
      <c r="A9" s="24" t="inlineStr">
        <is>
          <t>8</t>
        </is>
      </c>
      <c r="B9" s="24" t="inlineStr">
        <is>
          <t>EXT. THE BARN - ESTABLISHING - DAY</t>
        </is>
      </c>
      <c r="C9" s="24" t="inlineStr">
        <is>
          <t>EXT</t>
        </is>
      </c>
      <c r="D9" s="24" t="inlineStr">
        <is>
          <t>DAY</t>
        </is>
      </c>
      <c r="E9" s="24" t="inlineStr">
        <is>
          <t>3/8</t>
        </is>
      </c>
      <c r="F9" s="24" t="inlineStr">
        <is>
          <t>Day 1</t>
        </is>
      </c>
      <c r="G9" s="24" t="inlineStr">
        <is>
          <t>JOHN WICK</t>
        </is>
      </c>
      <c r="H9" s="24" t="n"/>
      <c r="I9" s="24" t="inlineStr">
        <is>
          <t>mechanic's tools (wall display)</t>
        </is>
      </c>
      <c r="J9" s="24" t="n"/>
      <c r="K9" s="24" t="inlineStr">
        <is>
          <t>John in old but well-fitted gray suit</t>
        </is>
      </c>
      <c r="L9" s="24" t="n"/>
      <c r="M9" s="24" t="inlineStr">
        <is>
          <t>1969 Ford Mustang Boss 429 — black, distressed condition</t>
        </is>
      </c>
      <c r="N9" s="24" t="n"/>
      <c r="O9" s="24" t="n"/>
      <c r="P9" s="24" t="n"/>
      <c r="Q9" s="24" t="n"/>
      <c r="R9" s="24" t="inlineStr">
        <is>
          <t>Practical</t>
        </is>
      </c>
      <c r="S9" s="25" t="inlineStr">
        <is>
          <t>[SCHEDULE]</t>
        </is>
      </c>
      <c r="T9" s="25" t="inlineStr">
        <is>
          <t>[SCHEDULE]</t>
        </is>
      </c>
      <c r="U9" s="24" t="inlineStr">
        <is>
          <t>Picture vehicle required: 1969 Ford Mustang Boss 429
EXT barn — location permit required</t>
        </is>
      </c>
      <c r="V9" s="26" t="n">
        <v>3</v>
      </c>
    </row>
    <row r="10" ht="45" customHeight="1">
      <c r="A10" s="24" t="inlineStr">
        <is>
          <t>9</t>
        </is>
      </c>
      <c r="B10" s="24" t="inlineStr">
        <is>
          <t>INT. JOHN'S CAR - CONTINUOUS</t>
        </is>
      </c>
      <c r="C10" s="24" t="inlineStr">
        <is>
          <t>INT</t>
        </is>
      </c>
      <c r="D10" s="24" t="inlineStr">
        <is>
          <t>DAY</t>
        </is>
      </c>
      <c r="E10" s="24" t="inlineStr">
        <is>
          <t>2/8</t>
        </is>
      </c>
      <c r="F10" s="24" t="inlineStr">
        <is>
          <t>Day 1</t>
        </is>
      </c>
      <c r="G10" s="24" t="inlineStr">
        <is>
          <t>JOHN WICK</t>
        </is>
      </c>
      <c r="H10" s="24" t="n"/>
      <c r="I10" s="24" t="inlineStr">
        <is>
          <t>car keys</t>
        </is>
      </c>
      <c r="J10" s="24" t="inlineStr">
        <is>
          <t>exhaust pipe belching black smoke — practical vehicle effect</t>
        </is>
      </c>
      <c r="K10" s="24" t="inlineStr">
        <is>
          <t>John in gray suit</t>
        </is>
      </c>
      <c r="L10" s="24" t="n"/>
      <c r="M10" s="24" t="inlineStr">
        <is>
          <t>1969 Ford Mustang Boss 429 — black</t>
        </is>
      </c>
      <c r="N10" s="24" t="n"/>
      <c r="O10" s="24" t="n"/>
      <c r="P10" s="24" t="n"/>
      <c r="Q10" s="24" t="n"/>
      <c r="R10" s="24" t="inlineStr">
        <is>
          <t>Practical</t>
        </is>
      </c>
      <c r="S10" s="25" t="inlineStr">
        <is>
          <t>[SCHEDULE]</t>
        </is>
      </c>
      <c r="T10" s="25" t="inlineStr">
        <is>
          <t>[SCHEDULE]</t>
        </is>
      </c>
      <c r="U10" s="24" t="inlineStr">
        <is>
          <t>Picture vehicle insert shot — process trailer or locked-off camera needed</t>
        </is>
      </c>
      <c r="V10" s="26" t="n">
        <v>4</v>
      </c>
    </row>
    <row r="11" ht="45" customHeight="1">
      <c r="A11" s="24" t="inlineStr">
        <is>
          <t>10</t>
        </is>
      </c>
      <c r="B11" s="24" t="inlineStr">
        <is>
          <t>EXT. THE WICK HOME - CONTINUOUS</t>
        </is>
      </c>
      <c r="C11" s="24" t="inlineStr">
        <is>
          <t>EXT</t>
        </is>
      </c>
      <c r="D11" s="24" t="inlineStr">
        <is>
          <t>DAY</t>
        </is>
      </c>
      <c r="E11" s="24" t="inlineStr">
        <is>
          <t>1/8</t>
        </is>
      </c>
      <c r="F11" s="24" t="inlineStr">
        <is>
          <t>Day 1</t>
        </is>
      </c>
      <c r="G11" s="24" t="inlineStr">
        <is>
          <t>JOHN WICK</t>
        </is>
      </c>
      <c r="H11" s="24" t="n"/>
      <c r="I11" s="24" t="n"/>
      <c r="J11" s="24" t="n"/>
      <c r="K11" s="24" t="inlineStr">
        <is>
          <t>John in gray suit</t>
        </is>
      </c>
      <c r="L11" s="24" t="n"/>
      <c r="M11" s="24" t="inlineStr">
        <is>
          <t>1969 Ford Mustang Boss 429 — black</t>
        </is>
      </c>
      <c r="N11" s="24" t="n"/>
      <c r="O11" s="24" t="n"/>
      <c r="P11" s="24" t="n"/>
      <c r="Q11" s="24" t="n"/>
      <c r="R11" s="24" t="inlineStr">
        <is>
          <t>Practical</t>
        </is>
      </c>
      <c r="S11" s="25" t="inlineStr">
        <is>
          <t>[SCHEDULE]</t>
        </is>
      </c>
      <c r="T11" s="25" t="inlineStr">
        <is>
          <t>[SCHEDULE]</t>
        </is>
      </c>
      <c r="U11" s="24" t="inlineStr">
        <is>
          <t>EXT — location permit required</t>
        </is>
      </c>
      <c r="V11" s="26" t="n">
        <v>4</v>
      </c>
    </row>
    <row r="12" ht="45" customHeight="1">
      <c r="A12" s="24" t="inlineStr">
        <is>
          <t>11</t>
        </is>
      </c>
      <c r="B12" s="24" t="inlineStr">
        <is>
          <t>EXT. THE HOSPITAL - ESTABLISHING - DAY</t>
        </is>
      </c>
      <c r="C12" s="24" t="inlineStr">
        <is>
          <t>EXT</t>
        </is>
      </c>
      <c r="D12" s="24" t="inlineStr">
        <is>
          <t>DAY</t>
        </is>
      </c>
      <c r="E12" s="24" t="inlineStr">
        <is>
          <t>1/8</t>
        </is>
      </c>
      <c r="F12" s="24" t="inlineStr">
        <is>
          <t>Day 1</t>
        </is>
      </c>
      <c r="G12" s="24" t="n"/>
      <c r="H12" s="24" t="n"/>
      <c r="I12" s="24" t="n"/>
      <c r="J12" s="24" t="inlineStr">
        <is>
          <t>rain — soft rain falling</t>
        </is>
      </c>
      <c r="K12" s="24" t="n"/>
      <c r="L12" s="24" t="n"/>
      <c r="M12" s="24" t="n"/>
      <c r="N12" s="24" t="n"/>
      <c r="O12" s="24" t="n"/>
      <c r="P12" s="24" t="n"/>
      <c r="Q12" s="24" t="n"/>
      <c r="R12" s="24" t="inlineStr">
        <is>
          <t>Practical</t>
        </is>
      </c>
      <c r="S12" s="25" t="inlineStr">
        <is>
          <t>[SCHEDULE]</t>
        </is>
      </c>
      <c r="T12" s="25" t="inlineStr">
        <is>
          <t>[SCHEDULE]</t>
        </is>
      </c>
      <c r="U12" s="24" t="inlineStr">
        <is>
          <t>EXT hospital — location permit required
Rain effect — rain tower kit or practical rain required</t>
        </is>
      </c>
      <c r="V12" s="26" t="n">
        <v>4</v>
      </c>
    </row>
    <row r="13" ht="45" customHeight="1">
      <c r="A13" s="24" t="inlineStr">
        <is>
          <t>12</t>
        </is>
      </c>
      <c r="B13" s="24" t="inlineStr">
        <is>
          <t>INT. THE HOSPITAL - A HALLWAY - CONTINUOUS</t>
        </is>
      </c>
      <c r="C13" s="24" t="inlineStr">
        <is>
          <t>INT</t>
        </is>
      </c>
      <c r="D13" s="24" t="inlineStr">
        <is>
          <t>DAY</t>
        </is>
      </c>
      <c r="E13" s="24" t="inlineStr">
        <is>
          <t>2/8</t>
        </is>
      </c>
      <c r="F13" s="24" t="inlineStr">
        <is>
          <t>Day 1</t>
        </is>
      </c>
      <c r="G13" s="24" t="inlineStr">
        <is>
          <t>JOHN WICK</t>
        </is>
      </c>
      <c r="H13" s="24" t="n"/>
      <c r="I13" s="24" t="inlineStr">
        <is>
          <t>bouquet of yellow daisies (hero prop)</t>
        </is>
      </c>
      <c r="J13" s="24" t="n"/>
      <c r="K13" s="24" t="inlineStr">
        <is>
          <t>John in gray suit</t>
        </is>
      </c>
      <c r="L13" s="24" t="n"/>
      <c r="M13" s="24" t="n"/>
      <c r="N13" s="24" t="n"/>
      <c r="O13" s="24" t="n"/>
      <c r="P13" s="24" t="n"/>
      <c r="Q13" s="24" t="n"/>
      <c r="R13" s="24" t="inlineStr">
        <is>
          <t>Practical</t>
        </is>
      </c>
      <c r="S13" s="25" t="inlineStr">
        <is>
          <t>[SCHEDULE]</t>
        </is>
      </c>
      <c r="T13" s="25" t="inlineStr">
        <is>
          <t>[SCHEDULE]</t>
        </is>
      </c>
      <c r="U13" s="24" t="n"/>
      <c r="V13" s="26" t="n">
        <v>4</v>
      </c>
    </row>
    <row r="14" ht="45" customHeight="1">
      <c r="A14" s="24" t="inlineStr">
        <is>
          <t>13</t>
        </is>
      </c>
      <c r="B14" s="24" t="inlineStr">
        <is>
          <t>INT. THE HOSPITAL - A ROOM - CONTINUOUS</t>
        </is>
      </c>
      <c r="C14" s="24" t="inlineStr">
        <is>
          <t>INT</t>
        </is>
      </c>
      <c r="D14" s="24" t="inlineStr">
        <is>
          <t>DAY</t>
        </is>
      </c>
      <c r="E14" s="24" t="inlineStr">
        <is>
          <t>5/8</t>
        </is>
      </c>
      <c r="F14" s="24" t="inlineStr">
        <is>
          <t>Day 1</t>
        </is>
      </c>
      <c r="G14" s="24" t="inlineStr">
        <is>
          <t>JOHN WICK
DOCTOR
NORMA WICK</t>
        </is>
      </c>
      <c r="H14" s="24" t="n"/>
      <c r="I14" s="24" t="inlineStr">
        <is>
          <t>yellow daisies (fresh and wilted sets)
flower vase
hospital bed
medical machinery/monitors/wires/tubes</t>
        </is>
      </c>
      <c r="J14" s="24" t="inlineStr">
        <is>
          <t>life support machines operational — practical hero electronics</t>
        </is>
      </c>
      <c r="K14" s="24" t="inlineStr">
        <is>
          <t>John in gray suit; Doctor in medical attire; Norma in hospital gown (silhouette only)</t>
        </is>
      </c>
      <c r="L14" s="24" t="n"/>
      <c r="M14" s="24" t="n"/>
      <c r="N14" s="24" t="inlineStr">
        <is>
          <t>Norma — comatose patient look; wires and tubes applied</t>
        </is>
      </c>
      <c r="O14" s="24" t="n"/>
      <c r="P14" s="24" t="n"/>
      <c r="Q14" s="24" t="n"/>
      <c r="R14" s="24" t="inlineStr">
        <is>
          <t>Practical</t>
        </is>
      </c>
      <c r="S14" s="25" t="inlineStr">
        <is>
          <t>[SCHEDULE]</t>
        </is>
      </c>
      <c r="T14" s="25" t="inlineStr">
        <is>
          <t>[SCHEDULE]</t>
        </is>
      </c>
      <c r="U14" s="24" t="inlineStr">
        <is>
          <t>Medical equipment rental required
Norma character — only silhouette visible, body double possible</t>
        </is>
      </c>
      <c r="V14" s="26" t="n">
        <v>4</v>
      </c>
    </row>
    <row r="15" ht="45" customHeight="1">
      <c r="A15" s="24" t="inlineStr">
        <is>
          <t>14</t>
        </is>
      </c>
      <c r="B15" s="24" t="inlineStr">
        <is>
          <t>EXT. THE BARN - DAY</t>
        </is>
      </c>
      <c r="C15" s="24" t="inlineStr">
        <is>
          <t>EXT</t>
        </is>
      </c>
      <c r="D15" s="24" t="inlineStr">
        <is>
          <t>DAY</t>
        </is>
      </c>
      <c r="E15" s="24" t="inlineStr">
        <is>
          <t>2/8</t>
        </is>
      </c>
      <c r="F15" s="24" t="inlineStr">
        <is>
          <t>Day 1</t>
        </is>
      </c>
      <c r="G15" s="24" t="inlineStr">
        <is>
          <t>JOHN WICK</t>
        </is>
      </c>
      <c r="H15" s="24" t="n"/>
      <c r="I15" s="24" t="n"/>
      <c r="J15" s="24" t="n"/>
      <c r="K15" s="24" t="inlineStr">
        <is>
          <t>John in gray suit</t>
        </is>
      </c>
      <c r="L15" s="24" t="n"/>
      <c r="M15" s="24" t="inlineStr">
        <is>
          <t>1969 Ford Mustang Boss 429 — black</t>
        </is>
      </c>
      <c r="N15" s="24" t="n"/>
      <c r="O15" s="24" t="n"/>
      <c r="P15" s="24" t="n"/>
      <c r="Q15" s="24" t="n"/>
      <c r="R15" s="24" t="inlineStr">
        <is>
          <t>Practical</t>
        </is>
      </c>
      <c r="S15" s="25" t="inlineStr">
        <is>
          <t>[SCHEDULE]</t>
        </is>
      </c>
      <c r="T15" s="25" t="inlineStr">
        <is>
          <t>[SCHEDULE]</t>
        </is>
      </c>
      <c r="U15" s="24" t="n"/>
      <c r="V15" s="26" t="n">
        <v>5</v>
      </c>
    </row>
    <row r="16" ht="45" customHeight="1">
      <c r="A16" s="24" t="inlineStr">
        <is>
          <t>15</t>
        </is>
      </c>
      <c r="B16" s="24" t="inlineStr">
        <is>
          <t>INT. THE WICK HOME - THE HALLWAY - DAY</t>
        </is>
      </c>
      <c r="C16" s="24" t="inlineStr">
        <is>
          <t>INT</t>
        </is>
      </c>
      <c r="D16" s="24" t="inlineStr">
        <is>
          <t>DAY</t>
        </is>
      </c>
      <c r="E16" s="24" t="inlineStr">
        <is>
          <t>3/8</t>
        </is>
      </c>
      <c r="F16" s="24" t="inlineStr">
        <is>
          <t>Day 1</t>
        </is>
      </c>
      <c r="G16" s="24" t="inlineStr">
        <is>
          <t>JOHN WICK</t>
        </is>
      </c>
      <c r="H16" s="24" t="n"/>
      <c r="I16" s="24" t="inlineStr">
        <is>
          <t>family photographs (breakaway — ripped from wall)
picture frames (breakaway set, qty 3 minimum)</t>
        </is>
      </c>
      <c r="J16" s="24" t="n"/>
      <c r="K16" s="24" t="inlineStr">
        <is>
          <t>John in gray suit — knuckles bleed after punching wall</t>
        </is>
      </c>
      <c r="L16" s="24" t="n"/>
      <c r="M16" s="24" t="n"/>
      <c r="N16" s="24" t="inlineStr">
        <is>
          <t>bleeding knuckles — wound makeup for John</t>
        </is>
      </c>
      <c r="O16" s="24" t="n"/>
      <c r="P16" s="24" t="inlineStr">
        <is>
          <t>John punches wall and pictures with force — stunt coordinator for physical safety</t>
        </is>
      </c>
      <c r="Q16" s="24" t="n"/>
      <c r="R16" s="24" t="inlineStr">
        <is>
          <t>Practical</t>
        </is>
      </c>
      <c r="S16" s="25" t="inlineStr">
        <is>
          <t>[SCHEDULE]</t>
        </is>
      </c>
      <c r="T16" s="25" t="inlineStr">
        <is>
          <t>[SCHEDULE]</t>
        </is>
      </c>
      <c r="U16" s="24" t="inlineStr">
        <is>
          <t>Physical violence against set piece — stunt coordinator required
Breakaway picture frames needed (qty 3+ per setup)
Wound makeup — bleeding knuckles</t>
        </is>
      </c>
      <c r="V16" s="26" t="n">
        <v>5</v>
      </c>
    </row>
    <row r="17" ht="45" customHeight="1">
      <c r="A17" s="24" t="inlineStr">
        <is>
          <t>16</t>
        </is>
      </c>
      <c r="B17" s="24" t="inlineStr">
        <is>
          <t>INT. THE WICK HOME - THE BASEMENT - DAY</t>
        </is>
      </c>
      <c r="C17" s="24" t="inlineStr">
        <is>
          <t>INT</t>
        </is>
      </c>
      <c r="D17" s="24" t="inlineStr">
        <is>
          <t>DAY</t>
        </is>
      </c>
      <c r="E17" s="24" t="inlineStr">
        <is>
          <t>5/8</t>
        </is>
      </c>
      <c r="F17" s="24" t="inlineStr">
        <is>
          <t>Day 1</t>
        </is>
      </c>
      <c r="G17" s="24" t="inlineStr">
        <is>
          <t>JOHN WICK</t>
        </is>
      </c>
      <c r="H17" s="24" t="n"/>
      <c r="I17" s="24" t="inlineStr">
        <is>
          <t>pencil
pad of paper
bottle of scotch
scotch glass
pack of cigarettes (half-empty)
lighter
prescription pill bottle (NORMA WICK / OXYCONTIN label)
OxyContin pills (prop)</t>
        </is>
      </c>
      <c r="J17" s="24" t="n"/>
      <c r="K17" s="24" t="inlineStr">
        <is>
          <t>John in gray suit</t>
        </is>
      </c>
      <c r="L17" s="24" t="n"/>
      <c r="M17" s="24" t="n"/>
      <c r="N17" s="24" t="n"/>
      <c r="O17" s="24" t="n"/>
      <c r="P17" s="24" t="n"/>
      <c r="Q17" s="24" t="n"/>
      <c r="R17" s="24" t="inlineStr">
        <is>
          <t>Practical</t>
        </is>
      </c>
      <c r="S17" s="25" t="inlineStr">
        <is>
          <t>[SCHEDULE]</t>
        </is>
      </c>
      <c r="T17" s="25" t="inlineStr">
        <is>
          <t>[SCHEDULE]</t>
        </is>
      </c>
      <c r="U17" s="24" t="inlineStr">
        <is>
          <t>Prop prescription pill bottle — label clearance required (NORMA WICK / OXYCONTIN)
Prop pills — safety/compliance check required
Smoking on set — safety/policy compliance</t>
        </is>
      </c>
      <c r="V17" s="26" t="n">
        <v>6</v>
      </c>
    </row>
    <row r="18" ht="45" customHeight="1">
      <c r="A18" s="24" t="inlineStr">
        <is>
          <t>17</t>
        </is>
      </c>
      <c r="B18" s="24" t="inlineStr">
        <is>
          <t>EXT. THE WICK HOME - DAY</t>
        </is>
      </c>
      <c r="C18" s="24" t="inlineStr">
        <is>
          <t>EXT</t>
        </is>
      </c>
      <c r="D18" s="24" t="inlineStr">
        <is>
          <t>DAY</t>
        </is>
      </c>
      <c r="E18" s="24" t="inlineStr">
        <is>
          <t>3/8</t>
        </is>
      </c>
      <c r="F18" s="24" t="inlineStr">
        <is>
          <t>Day 1</t>
        </is>
      </c>
      <c r="G18" s="24" t="inlineStr">
        <is>
          <t>JOHN WICK
DELIVERY WOMAN</t>
        </is>
      </c>
      <c r="H18" s="24" t="n"/>
      <c r="I18" s="24" t="inlineStr">
        <is>
          <t>clipboard
pen
pet carrier (plastic)
envelope/card</t>
        </is>
      </c>
      <c r="J18" s="24" t="n"/>
      <c r="K18" s="24" t="inlineStr">
        <is>
          <t>John in gray suit; Delivery Woman in delivery uniform</t>
        </is>
      </c>
      <c r="L18" s="24" t="inlineStr">
        <is>
          <t>Chorgi dog (half-Corgi, half-Chihuahua) — young, tri-colored</t>
        </is>
      </c>
      <c r="M18" s="24" t="n"/>
      <c r="N18" s="24" t="n"/>
      <c r="O18" s="24" t="n"/>
      <c r="P18" s="24" t="n"/>
      <c r="Q18" s="24" t="n"/>
      <c r="R18" s="24" t="inlineStr">
        <is>
          <t>Practical</t>
        </is>
      </c>
      <c r="S18" s="25" t="inlineStr">
        <is>
          <t>[SCHEDULE]</t>
        </is>
      </c>
      <c r="T18" s="25" t="inlineStr">
        <is>
          <t>[SCHEDULE]</t>
        </is>
      </c>
      <c r="U18" s="24" t="inlineStr">
        <is>
          <t>Animal on set — licensed animal handler required
EXT — location permit required</t>
        </is>
      </c>
      <c r="V18" s="26" t="n">
        <v>6</v>
      </c>
    </row>
    <row r="19" ht="45" customHeight="1">
      <c r="A19" s="24" t="inlineStr">
        <is>
          <t>18</t>
        </is>
      </c>
      <c r="B19" s="24" t="inlineStr">
        <is>
          <t>INT. THE WICK HOME - THE LIVING ROOM - CONTINUOUS</t>
        </is>
      </c>
      <c r="C19" s="24" t="inlineStr">
        <is>
          <t>INT</t>
        </is>
      </c>
      <c r="D19" s="24" t="inlineStr">
        <is>
          <t>DAY</t>
        </is>
      </c>
      <c r="E19" s="24" t="inlineStr">
        <is>
          <t>2/8</t>
        </is>
      </c>
      <c r="F19" s="24" t="inlineStr">
        <is>
          <t>Day 1</t>
        </is>
      </c>
      <c r="G19" s="24" t="inlineStr">
        <is>
          <t>JOHN WICK</t>
        </is>
      </c>
      <c r="H19" s="24" t="n"/>
      <c r="I19" s="24" t="inlineStr">
        <is>
          <t>pet carrier (plastic)
Chorgi dog inside carrier</t>
        </is>
      </c>
      <c r="J19" s="24" t="n"/>
      <c r="K19" s="24" t="inlineStr">
        <is>
          <t>John in gray suit</t>
        </is>
      </c>
      <c r="L19" s="24" t="inlineStr">
        <is>
          <t>Chorgi dog</t>
        </is>
      </c>
      <c r="M19" s="24" t="n"/>
      <c r="N19" s="24" t="n"/>
      <c r="O19" s="24" t="n"/>
      <c r="P19" s="24" t="n"/>
      <c r="Q19" s="24" t="n"/>
      <c r="R19" s="24" t="inlineStr">
        <is>
          <t>Practical</t>
        </is>
      </c>
      <c r="S19" s="25" t="inlineStr">
        <is>
          <t>[SCHEDULE]</t>
        </is>
      </c>
      <c r="T19" s="25" t="inlineStr">
        <is>
          <t>[SCHEDULE]</t>
        </is>
      </c>
      <c r="U19" s="24" t="inlineStr">
        <is>
          <t>Animal on set — licensed animal handler required</t>
        </is>
      </c>
      <c r="V19" s="26" t="n">
        <v>7</v>
      </c>
    </row>
    <row r="20" ht="45" customHeight="1">
      <c r="A20" s="24" t="inlineStr">
        <is>
          <t>19</t>
        </is>
      </c>
      <c r="B20" s="24" t="inlineStr">
        <is>
          <t>INT. THE WICK HOME - THE KITCHEN - DAY</t>
        </is>
      </c>
      <c r="C20" s="24" t="inlineStr">
        <is>
          <t>INT</t>
        </is>
      </c>
      <c r="D20" s="24" t="inlineStr">
        <is>
          <t>DAY</t>
        </is>
      </c>
      <c r="E20" s="24" t="inlineStr">
        <is>
          <t>4/8</t>
        </is>
      </c>
      <c r="F20" s="24" t="inlineStr">
        <is>
          <t>Day 1</t>
        </is>
      </c>
      <c r="G20" s="24" t="inlineStr">
        <is>
          <t>JOHN WICK</t>
        </is>
      </c>
      <c r="H20" s="24" t="n"/>
      <c r="I20" s="24" t="inlineStr">
        <is>
          <t>pet carrier with Chorgi inside
envelope
card with daisy illustration</t>
        </is>
      </c>
      <c r="J20" s="24" t="n"/>
      <c r="K20" s="24" t="inlineStr">
        <is>
          <t>John in gray suit</t>
        </is>
      </c>
      <c r="L20" s="24" t="inlineStr">
        <is>
          <t>Chorgi dog</t>
        </is>
      </c>
      <c r="M20" s="24" t="n"/>
      <c r="N20" s="24" t="n"/>
      <c r="O20" s="24" t="n"/>
      <c r="P20" s="24" t="n"/>
      <c r="Q20" s="24" t="n"/>
      <c r="R20" s="24" t="inlineStr">
        <is>
          <t>Practical</t>
        </is>
      </c>
      <c r="S20" s="25" t="inlineStr">
        <is>
          <t>[SCHEDULE]</t>
        </is>
      </c>
      <c r="T20" s="25" t="inlineStr">
        <is>
          <t>[SCHEDULE]</t>
        </is>
      </c>
      <c r="U20" s="24" t="inlineStr">
        <is>
          <t>Animal on set — licensed animal handler required</t>
        </is>
      </c>
      <c r="V20" s="26" t="n">
        <v>7</v>
      </c>
    </row>
  </sheetData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1100.01</t>
        </is>
      </c>
      <c r="B2" s="28" t="inlineStr">
        <is>
          <t>Story option / rights acquisition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1100.02</t>
        </is>
      </c>
      <c r="B3" s="28" t="inlineStr">
        <is>
          <t>Screenplay development fee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1100.03</t>
        </is>
      </c>
      <c r="B4" s="28" t="inlineStr">
        <is>
          <t>Development legal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1100.04</t>
        </is>
      </c>
      <c r="B5" s="28" t="inlineStr">
        <is>
          <t>Development overhead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1200.01</t>
        </is>
      </c>
      <c r="B2" s="28" t="inlineStr">
        <is>
          <t>Story rights purchase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1200.02</t>
        </is>
      </c>
      <c r="B3" s="28" t="inlineStr">
        <is>
          <t>Writer fee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1200.03</t>
        </is>
      </c>
      <c r="B4" s="28" t="inlineStr">
        <is>
          <t>Continuity / breakdown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1200.04</t>
        </is>
      </c>
      <c r="B5" s="28" t="inlineStr">
        <is>
          <t>Script duplication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1400.01</t>
        </is>
      </c>
      <c r="B2" s="28" t="inlineStr">
        <is>
          <t>Executive Producer fee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1400.02</t>
        </is>
      </c>
      <c r="B3" s="28" t="inlineStr">
        <is>
          <t>Producer fee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1400.03</t>
        </is>
      </c>
      <c r="B4" s="28" t="inlineStr">
        <is>
          <t>Line Producer fee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1400.04</t>
        </is>
      </c>
      <c r="B5" s="28" t="inlineStr">
        <is>
          <t>Producer assistant(s)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1500.01</t>
        </is>
      </c>
      <c r="B2" s="28" t="inlineStr">
        <is>
          <t>Director fee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1500.02</t>
        </is>
      </c>
      <c r="B3" s="28" t="inlineStr">
        <is>
          <t>Director assistant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1500.03</t>
        </is>
      </c>
      <c r="B4" s="28" t="inlineStr">
        <is>
          <t>Storyboard artist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1600.01</t>
        </is>
      </c>
      <c r="B2" s="24" t="inlineStr">
        <is>
          <t>JOHN WICK — Lead Actor</t>
        </is>
      </c>
      <c r="C2" s="5" t="n">
        <v>19</v>
      </c>
      <c r="D2" s="5" t="inlineStr">
        <is>
          <t>Days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JOHN WICK -early sixties, salt-and-pepper hair, three-day beard, former boxer</t>
        </is>
      </c>
      <c r="M2" s="24" t="inlineStr">
        <is>
          <t>Appears in all 19 scenes extracted. Amount reflects scene count as proxy for shooting days. Day rate to be filled by Line Producer.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1600.02</t>
        </is>
      </c>
      <c r="B3" s="24" t="inlineStr">
        <is>
          <t>DOCTOR — Supporting Actor</t>
        </is>
      </c>
      <c r="C3" s="5" t="n">
        <v>1</v>
      </c>
      <c r="D3" s="5" t="inlineStr">
        <is>
          <t>Days</t>
        </is>
      </c>
      <c r="E3" s="31" t="n"/>
      <c r="F3" s="6">
        <f>IFERROR(C3*D3*E3,"")</f>
        <v/>
      </c>
      <c r="H3" s="6">
        <f>IFERROR(F3+(F3*G3),"")</f>
        <v/>
      </c>
      <c r="K3" s="32" t="n">
        <v>5</v>
      </c>
      <c r="L3" s="33" t="inlineStr">
        <is>
          <t>the DOCTOR -of a similar age to John- enters, placing a hand on John's shoulder</t>
        </is>
      </c>
      <c r="M3" s="24" t="inlineStr">
        <is>
          <t>Appears in 1 scene (hospital room). Day rate to be filled by Line Producer.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1600.03</t>
        </is>
      </c>
      <c r="B4" s="24" t="inlineStr">
        <is>
          <t>NORMA WICK — Supporting Actor (silhouette/body double)</t>
        </is>
      </c>
      <c r="C4" s="5" t="n">
        <v>1</v>
      </c>
      <c r="D4" s="5" t="inlineStr">
        <is>
          <t>Days</t>
        </is>
      </c>
      <c r="E4" s="31" t="n"/>
      <c r="F4" s="6">
        <f>IFERROR(C4*D4*E4,"")</f>
        <v/>
      </c>
      <c r="H4" s="6">
        <f>IFERROR(F4+(F4*G4),"")</f>
        <v/>
      </c>
      <c r="K4" s="32" t="n">
        <v>4</v>
      </c>
      <c r="L4" s="33" t="inlineStr">
        <is>
          <t>We never see her face: just her silhouette.</t>
        </is>
      </c>
      <c r="M4" s="24" t="inlineStr">
        <is>
          <t>Appears in 1 scene (hospital room). Only silhouette/hand visible — may be body double. Day rate to be filled by Line Producer.</t>
        </is>
      </c>
      <c r="N4" s="34" t="inlineStr">
        <is>
          <t>High</t>
        </is>
      </c>
      <c r="O4" s="35" t="inlineStr">
        <is>
          <t>SCRIPT</t>
        </is>
      </c>
    </row>
    <row r="5">
      <c r="A5" s="5" t="inlineStr">
        <is>
          <t>1600.04</t>
        </is>
      </c>
      <c r="B5" s="24" t="inlineStr">
        <is>
          <t>DELIVERY WOMAN — Day Player</t>
        </is>
      </c>
      <c r="C5" s="5" t="n">
        <v>1</v>
      </c>
      <c r="D5" s="5" t="inlineStr">
        <is>
          <t>Days</t>
        </is>
      </c>
      <c r="E5" s="31" t="n"/>
      <c r="F5" s="6">
        <f>IFERROR(C5*D5*E5,"")</f>
        <v/>
      </c>
      <c r="H5" s="6">
        <f>IFERROR(F5+(F5*G5),"")</f>
        <v/>
      </c>
      <c r="K5" s="32" t="n">
        <v>6</v>
      </c>
      <c r="L5" s="33" t="inlineStr">
        <is>
          <t>A DELIVERY WOMAN waits for him on the doorstep. John opens the door.</t>
        </is>
      </c>
      <c r="M5" s="24" t="inlineStr">
        <is>
          <t>Appears in 1 scene (EXT. The Wick Home delivery). Day rate to be filled by Line Producer.</t>
        </is>
      </c>
      <c r="N5" s="34" t="inlineStr">
        <is>
          <t>High</t>
        </is>
      </c>
      <c r="O5" s="35" t="inlineStr">
        <is>
          <t>SCRIPT</t>
        </is>
      </c>
    </row>
    <row r="6">
      <c r="A6" s="27" t="inlineStr">
        <is>
          <t>1600.05</t>
        </is>
      </c>
      <c r="B6" s="28" t="inlineStr">
        <is>
          <t>Casting Director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  <row r="7">
      <c r="A7" s="27" t="inlineStr">
        <is>
          <t>1600.06</t>
        </is>
      </c>
      <c r="B7" s="28" t="inlineStr">
        <is>
          <t>Casting Associate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2100.01</t>
        </is>
      </c>
      <c r="B2" s="28" t="inlineStr">
        <is>
          <t>Production Manager / UPM</t>
        </is>
      </c>
      <c r="C2" s="27" t="inlineStr">
        <is>
          <t>[SCHEDULE]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6" t="inlineStr">
        <is>
          <t>SCHEDULE</t>
        </is>
      </c>
    </row>
    <row r="3">
      <c r="A3" s="27" t="inlineStr">
        <is>
          <t>2100.02</t>
        </is>
      </c>
      <c r="B3" s="28" t="inlineStr">
        <is>
          <t>1st Assistant Director</t>
        </is>
      </c>
      <c r="C3" s="27" t="inlineStr">
        <is>
          <t>[SCHEDULE]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6" t="inlineStr">
        <is>
          <t>SCHEDULE</t>
        </is>
      </c>
    </row>
    <row r="4">
      <c r="A4" s="27" t="inlineStr">
        <is>
          <t>2100.03</t>
        </is>
      </c>
      <c r="B4" s="28" t="inlineStr">
        <is>
          <t>2nd Assistant Director</t>
        </is>
      </c>
      <c r="C4" s="27" t="inlineStr">
        <is>
          <t>[SCHEDULE]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6" t="inlineStr">
        <is>
          <t>SCHEDULE</t>
        </is>
      </c>
    </row>
    <row r="5">
      <c r="A5" s="27" t="inlineStr">
        <is>
          <t>2100.04</t>
        </is>
      </c>
      <c r="B5" s="28" t="inlineStr">
        <is>
          <t>Production Coordinator</t>
        </is>
      </c>
      <c r="C5" s="27" t="inlineStr">
        <is>
          <t>[SCHEDULE]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6" t="inlineStr">
        <is>
          <t>SCHEDULE</t>
        </is>
      </c>
    </row>
    <row r="6">
      <c r="A6" s="27" t="inlineStr">
        <is>
          <t>2100.05</t>
        </is>
      </c>
      <c r="B6" s="28" t="inlineStr">
        <is>
          <t>Production Secretary</t>
        </is>
      </c>
      <c r="C6" s="27" t="inlineStr">
        <is>
          <t>[SCHEDULE]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6" t="inlineStr">
        <is>
          <t>SCHEDULE</t>
        </is>
      </c>
    </row>
    <row r="7">
      <c r="A7" s="27" t="inlineStr">
        <is>
          <t>2100.06</t>
        </is>
      </c>
      <c r="B7" s="28" t="inlineStr">
        <is>
          <t>Location Manager</t>
        </is>
      </c>
      <c r="C7" s="27" t="inlineStr">
        <is>
          <t>[SCHEDULE]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6" t="inlineStr">
        <is>
          <t>SCHEDULE</t>
        </is>
      </c>
    </row>
    <row r="8">
      <c r="A8" s="27" t="inlineStr">
        <is>
          <t>2100.07</t>
        </is>
      </c>
      <c r="B8" s="28" t="inlineStr">
        <is>
          <t>Production Accountant</t>
        </is>
      </c>
      <c r="C8" s="27" t="inlineStr">
        <is>
          <t>[SCHEDULE]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6" t="inlineStr">
        <is>
          <t>SCHEDULE</t>
        </is>
      </c>
    </row>
    <row r="9">
      <c r="A9" s="27" t="inlineStr">
        <is>
          <t>2100.08</t>
        </is>
      </c>
      <c r="B9" s="28" t="inlineStr">
        <is>
          <t>Payroll services</t>
        </is>
      </c>
      <c r="C9" s="27" t="inlineStr">
        <is>
          <t>[DEAL]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30" t="inlineStr">
        <is>
          <t>DEAL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2200.01</t>
        </is>
      </c>
      <c r="B2" s="24" t="inlineStr">
        <is>
          <t>Farmhouse exterior facade dressing — weathered/aged paint, worn wood barn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small barn -its paint chipped, wood worn- sits nestled within the setting</t>
        </is>
      </c>
      <c r="M2" s="24" t="inlineStr">
        <is>
          <t>Barn and farmhouse exterior require aged, distressed finish; may need physical set modification to achieve 'dire need of overhaul' look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2200.02</t>
        </is>
      </c>
      <c r="B3" s="24" t="inlineStr">
        <is>
          <t>Farmhouse interior construction/dressing — cluttered, dirty, neglected interiors across multiple rooms</t>
        </is>
      </c>
      <c r="C3" s="5" t="n">
        <v>1</v>
      </c>
      <c r="D3" s="5" t="inlineStr">
        <is>
          <t>Allow</t>
        </is>
      </c>
      <c r="E3" s="31" t="n"/>
      <c r="F3" s="6">
        <f>IFERROR(C3*D3*E3,"")</f>
        <v/>
      </c>
      <c r="H3" s="6">
        <f>IFERROR(F3+(F3*G3),"")</f>
        <v/>
      </c>
      <c r="K3" s="32" t="n">
        <v>2</v>
      </c>
      <c r="L3" s="33" t="inlineStr">
        <is>
          <t>it is cluttered and unorganized. Dirty, in fact, as if it hasn't been cleaned in months</t>
        </is>
      </c>
      <c r="M3" s="24" t="inlineStr">
        <is>
          <t>Applies to living room, hallway, kitchen — full interior needs neglected/dirty build or heavy dressing treatment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2200.03</t>
        </is>
      </c>
      <c r="B4" s="24" t="inlineStr">
        <is>
          <t>Basement set build — pristine wood shop + office space with distinct dual-zone layout</t>
        </is>
      </c>
      <c r="C4" s="5" t="n">
        <v>1</v>
      </c>
      <c r="D4" s="5" t="inlineStr">
        <is>
          <t>Allow</t>
        </is>
      </c>
      <c r="E4" s="31" t="n"/>
      <c r="F4" s="6">
        <f>IFERROR(C4*D4*E4,"")</f>
        <v/>
      </c>
      <c r="H4" s="6">
        <f>IFERROR(F4+(F4*G4),"")</f>
        <v/>
      </c>
      <c r="K4" s="32" t="n">
        <v>5</v>
      </c>
      <c r="L4" s="33" t="inlineStr">
        <is>
          <t>one half designated as an impressive wood shop, the other an office space</t>
        </is>
      </c>
      <c r="M4" s="24" t="inlineStr">
        <is>
          <t>Basement is described as pristine and organized in contrast to rest of house; may require partial build or heavy redress of practical location</t>
        </is>
      </c>
      <c r="N4" s="34" t="inlineStr">
        <is>
          <t>High</t>
        </is>
      </c>
      <c r="O4" s="35" t="inlineStr">
        <is>
          <t>SCRIPT</t>
        </is>
      </c>
    </row>
    <row r="5">
      <c r="A5" s="5" t="inlineStr">
        <is>
          <t>2200.04</t>
        </is>
      </c>
      <c r="B5" s="24" t="inlineStr">
        <is>
          <t>Hospital room set build/modification — medical room with comatose patient, machinery, monitors</t>
        </is>
      </c>
      <c r="C5" s="5" t="n">
        <v>1</v>
      </c>
      <c r="D5" s="5" t="inlineStr">
        <is>
          <t>Allow</t>
        </is>
      </c>
      <c r="E5" s="31" t="n"/>
      <c r="F5" s="6">
        <f>IFERROR(C5*D5*E5,"")</f>
        <v/>
      </c>
      <c r="H5" s="6">
        <f>IFERROR(F5+(F5*G5),"")</f>
        <v/>
      </c>
      <c r="K5" s="32" t="n">
        <v>3</v>
      </c>
      <c r="L5" s="33" t="inlineStr">
        <is>
          <t>surrounded by machinery, accompanied by the soft sounds of technology. so many machines... so many wires, tubes</t>
        </is>
      </c>
      <c r="M5" s="24" t="inlineStr">
        <is>
          <t>Requires full hospital room dressing with practical medical equipment; may use practical location with set modifications</t>
        </is>
      </c>
      <c r="N5" s="34" t="inlineStr">
        <is>
          <t>High</t>
        </is>
      </c>
      <c r="O5" s="35" t="inlineStr">
        <is>
          <t>SCRIPT</t>
        </is>
      </c>
    </row>
    <row r="6">
      <c r="A6" s="27" t="inlineStr">
        <is>
          <t>2200.05</t>
        </is>
      </c>
      <c r="B6" s="28" t="inlineStr">
        <is>
          <t>Production Designer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  <row r="7">
      <c r="A7" s="27" t="inlineStr">
        <is>
          <t>2200.06</t>
        </is>
      </c>
      <c r="B7" s="28" t="inlineStr">
        <is>
          <t>Art Director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  <row r="8">
      <c r="A8" s="27" t="inlineStr">
        <is>
          <t>2200.07</t>
        </is>
      </c>
      <c r="B8" s="28" t="inlineStr">
        <is>
          <t>Set Designer / Drafting</t>
        </is>
      </c>
      <c r="C8" s="27" t="inlineStr">
        <is>
          <t>[DEAL]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0" t="inlineStr">
        <is>
          <t>DEAL</t>
        </is>
      </c>
    </row>
    <row r="9">
      <c r="A9" s="27" t="inlineStr">
        <is>
          <t>2200.08</t>
        </is>
      </c>
      <c r="B9" s="28" t="inlineStr">
        <is>
          <t>Art Department Assistant</t>
        </is>
      </c>
      <c r="C9" s="27" t="inlineStr">
        <is>
          <t>[DEAL]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30" t="inlineStr">
        <is>
          <t>DEAL</t>
        </is>
      </c>
    </row>
    <row r="10">
      <c r="A10" s="27" t="inlineStr">
        <is>
          <t>2200.09</t>
        </is>
      </c>
      <c r="B10" s="28" t="inlineStr">
        <is>
          <t>Art Department supplies</t>
        </is>
      </c>
      <c r="C10" s="27" t="inlineStr">
        <is>
          <t>[DEAL]</t>
        </is>
      </c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2300.01</t>
        </is>
      </c>
      <c r="B2" s="28" t="inlineStr">
        <is>
          <t>Construction Coordinator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2300.02</t>
        </is>
      </c>
      <c r="B3" s="28" t="inlineStr">
        <is>
          <t>Construction labor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2300.03</t>
        </is>
      </c>
      <c r="B4" s="28" t="inlineStr">
        <is>
          <t>Construction materials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2300.04</t>
        </is>
      </c>
      <c r="B5" s="28" t="inlineStr">
        <is>
          <t>Stage / mill rental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2400.01</t>
        </is>
      </c>
      <c r="B2" s="24" t="inlineStr">
        <is>
          <t>Master bedroom set decoration — antique clock, bedding, aged furnishings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hour hand of an old, electric clock shifts slightly, marking six a.m.</t>
        </is>
      </c>
      <c r="M2" s="24" t="inlineStr">
        <is>
          <t>Antique/vintage clock is background set piece not handled by cast; general aged bedroom dressing required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2400.02</t>
        </is>
      </c>
      <c r="B3" s="24" t="inlineStr">
        <is>
          <t>Hallway wall photo gallery — framed family pictures spanning decades, dusty</t>
        </is>
      </c>
      <c r="C3" s="5" t="n">
        <v>1</v>
      </c>
      <c r="D3" s="5" t="inlineStr">
        <is>
          <t>Allow</t>
        </is>
      </c>
      <c r="E3" s="31" t="n"/>
      <c r="F3" s="6">
        <f>IFERROR(C3*D3*E3,"")</f>
        <v/>
      </c>
      <c r="H3" s="6">
        <f>IFERROR(F3+(F3*G3),"")</f>
        <v/>
      </c>
      <c r="K3" s="32" t="n">
        <v>2</v>
      </c>
      <c r="L3" s="33" t="inlineStr">
        <is>
          <t>walls overflowing with family pictures, each badly in need of dusting</t>
        </is>
      </c>
      <c r="M3" s="24" t="inlineStr">
        <is>
          <t>Large quantity of period-spanning framed photos required; must depict John and Norma over many years — may require photo fabrication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2400.03</t>
        </is>
      </c>
      <c r="B4" s="24" t="inlineStr">
        <is>
          <t>Kitchen set decoration — cupboards, percolator, fridge, table and chairs, wall phone</t>
        </is>
      </c>
      <c r="C4" s="5" t="n">
        <v>1</v>
      </c>
      <c r="D4" s="5" t="inlineStr">
        <is>
          <t>Allow</t>
        </is>
      </c>
      <c r="E4" s="31" t="n"/>
      <c r="F4" s="6">
        <f>IFERROR(C4*D4*E4,"")</f>
        <v/>
      </c>
      <c r="H4" s="6">
        <f>IFERROR(F4+(F4*G4),"")</f>
        <v/>
      </c>
      <c r="K4" s="32" t="n">
        <v>3</v>
      </c>
      <c r="L4" s="33" t="inlineStr">
        <is>
          <t>opens a cupboard...into an old percolator...opens the fridge...sits at the table...phone on the wall RINGS</t>
        </is>
      </c>
      <c r="M4" s="24" t="inlineStr">
        <is>
          <t>Wall-mounted phone is background set piece; percolator and fridge are interacted with so also flag for Props (2500); dressing should feel dated/lived-in</t>
        </is>
      </c>
      <c r="N4" s="34" t="inlineStr">
        <is>
          <t>High</t>
        </is>
      </c>
      <c r="O4" s="35" t="inlineStr">
        <is>
          <t>SCRIPT</t>
        </is>
      </c>
    </row>
    <row r="5">
      <c r="A5" s="5" t="inlineStr">
        <is>
          <t>2400.04</t>
        </is>
      </c>
      <c r="B5" s="24" t="inlineStr">
        <is>
          <t>Basement office set decoration — lazy boy recliner, tube television, desk</t>
        </is>
      </c>
      <c r="C5" s="5" t="n">
        <v>1</v>
      </c>
      <c r="D5" s="5" t="inlineStr">
        <is>
          <t>Allow</t>
        </is>
      </c>
      <c r="E5" s="31" t="n"/>
      <c r="F5" s="6">
        <f>IFERROR(C5*D5*E5,"")</f>
        <v/>
      </c>
      <c r="H5" s="6">
        <f>IFERROR(F5+(F5*G5),"")</f>
        <v/>
      </c>
      <c r="K5" s="32" t="n">
        <v>5</v>
      </c>
      <c r="L5" s="33" t="inlineStr">
        <is>
          <t>office space with a lazy boy recliner and tube television</t>
        </is>
      </c>
      <c r="M5" s="24" t="inlineStr">
        <is>
          <t>Tube television and lazy boy are background/ambient furnishings; desk used by cast so desk itself crosses into Props territory</t>
        </is>
      </c>
      <c r="N5" s="34" t="inlineStr">
        <is>
          <t>High</t>
        </is>
      </c>
      <c r="O5" s="35" t="inlineStr">
        <is>
          <t>SCRIPT</t>
        </is>
      </c>
    </row>
    <row r="6">
      <c r="A6" s="5" t="inlineStr">
        <is>
          <t>2400.05</t>
        </is>
      </c>
      <c r="B6" s="24" t="inlineStr">
        <is>
          <t>Basement wood shop set decoration — woodworking tools, workbenches, organized shop equipment</t>
        </is>
      </c>
      <c r="C6" s="5" t="n">
        <v>1</v>
      </c>
      <c r="D6" s="5" t="inlineStr">
        <is>
          <t>Allow</t>
        </is>
      </c>
      <c r="E6" s="31" t="n"/>
      <c r="F6" s="6">
        <f>IFERROR(C6*D6*E6,"")</f>
        <v/>
      </c>
      <c r="H6" s="6">
        <f>IFERROR(F6+(F6*G6),"")</f>
        <v/>
      </c>
      <c r="K6" s="32" t="n">
        <v>5</v>
      </c>
      <c r="L6" s="33" t="inlineStr">
        <is>
          <t>one half designated as an impressive wood shop</t>
        </is>
      </c>
      <c r="M6" s="24" t="inlineStr">
        <is>
          <t>Wood shop is background dressing only; no cast interaction with shop tools described</t>
        </is>
      </c>
      <c r="N6" s="37" t="inlineStr">
        <is>
          <t>Medium</t>
        </is>
      </c>
      <c r="O6" s="35" t="inlineStr">
        <is>
          <t>SCRIPT</t>
        </is>
      </c>
    </row>
    <row r="7">
      <c r="A7" s="5" t="inlineStr">
        <is>
          <t>2400.06</t>
        </is>
      </c>
      <c r="B7" s="24" t="inlineStr">
        <is>
          <t>Barn/garage interior set decoration — wall of mechanic tools lining the wall</t>
        </is>
      </c>
      <c r="C7" s="5" t="n">
        <v>1</v>
      </c>
      <c r="D7" s="5" t="inlineStr">
        <is>
          <t>Allow</t>
        </is>
      </c>
      <c r="E7" s="31" t="n"/>
      <c r="F7" s="6">
        <f>IFERROR(C7*D7*E7,"")</f>
        <v/>
      </c>
      <c r="H7" s="6">
        <f>IFERROR(F7+(F7*G7),"")</f>
        <v/>
      </c>
      <c r="K7" s="32" t="n">
        <v>4</v>
      </c>
      <c r="L7" s="33" t="inlineStr">
        <is>
          <t>the wall is lined with tools: a mechanic's dream enclave</t>
        </is>
      </c>
      <c r="M7" s="24" t="inlineStr">
        <is>
          <t>Mechanic tools are background dressing; John does not use them on camera</t>
        </is>
      </c>
      <c r="N7" s="34" t="inlineStr">
        <is>
          <t>High</t>
        </is>
      </c>
      <c r="O7" s="35" t="inlineStr">
        <is>
          <t>SCRIPT</t>
        </is>
      </c>
    </row>
    <row r="8">
      <c r="A8" s="5" t="inlineStr">
        <is>
          <t>2400.07</t>
        </is>
      </c>
      <c r="B8" s="24" t="inlineStr">
        <is>
          <t>Hospital room set decoration — ambient medical equipment, monitors, wires, tubes (background)</t>
        </is>
      </c>
      <c r="C8" s="5" t="n">
        <v>1</v>
      </c>
      <c r="D8" s="5" t="inlineStr">
        <is>
          <t>Allow</t>
        </is>
      </c>
      <c r="E8" s="31" t="n"/>
      <c r="F8" s="6">
        <f>IFERROR(C8*D8*E8,"")</f>
        <v/>
      </c>
      <c r="H8" s="6">
        <f>IFERROR(F8+(F8*G8),"")</f>
        <v/>
      </c>
      <c r="K8" s="32" t="n">
        <v>3</v>
      </c>
      <c r="L8" s="33" t="inlineStr">
        <is>
          <t>so many machines... so many wires, tubes, and monitors</t>
        </is>
      </c>
      <c r="M8" s="24" t="inlineStr">
        <is>
          <t>Medical props not handled by cast are set decoration; life-support machine that is turned off by Doctor crosses into Props/practical</t>
        </is>
      </c>
      <c r="N8" s="34" t="inlineStr">
        <is>
          <t>High</t>
        </is>
      </c>
      <c r="O8" s="35" t="inlineStr">
        <is>
          <t>SCRIPT</t>
        </is>
      </c>
    </row>
    <row r="9">
      <c r="A9" s="5" t="inlineStr">
        <is>
          <t>2400.08</t>
        </is>
      </c>
      <c r="B9" s="24" t="inlineStr">
        <is>
          <t>Hospital hallway set decoration — framed picture on wall (used as mirror by John)</t>
        </is>
      </c>
      <c r="C9" s="5" t="n">
        <v>1</v>
      </c>
      <c r="D9" s="5" t="inlineStr">
        <is>
          <t>Allow</t>
        </is>
      </c>
      <c r="E9" s="31" t="n"/>
      <c r="F9" s="6">
        <f>IFERROR(C9*D9*E9,"")</f>
        <v/>
      </c>
      <c r="H9" s="6">
        <f>IFERROR(F9+(F9*G9),"")</f>
        <v/>
      </c>
      <c r="K9" s="32" t="n">
        <v>3</v>
      </c>
      <c r="L9" s="33" t="inlineStr">
        <is>
          <t>He pauses before a picture on the wall, glancing at his reflection upon the glass</t>
        </is>
      </c>
      <c r="M9" s="24" t="inlineStr">
        <is>
          <t>Picture/frame is background wall dressing; not handled directly by cast</t>
        </is>
      </c>
      <c r="N9" s="37" t="inlineStr">
        <is>
          <t>Medium</t>
        </is>
      </c>
      <c r="O9" s="35" t="inlineStr">
        <is>
          <t>SCRIPT</t>
        </is>
      </c>
    </row>
    <row r="10">
      <c r="A10" s="27" t="inlineStr">
        <is>
          <t>2400.09</t>
        </is>
      </c>
      <c r="B10" s="28" t="inlineStr">
        <is>
          <t>Set Decorator</t>
        </is>
      </c>
      <c r="C10" s="27" t="inlineStr">
        <is>
          <t>[DEAL]</t>
        </is>
      </c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30" t="inlineStr">
        <is>
          <t>DEAL</t>
        </is>
      </c>
    </row>
    <row r="11">
      <c r="A11" s="27" t="inlineStr">
        <is>
          <t>2400.10</t>
        </is>
      </c>
      <c r="B11" s="28" t="inlineStr">
        <is>
          <t>Swing Gang</t>
        </is>
      </c>
      <c r="C11" s="27" t="inlineStr">
        <is>
          <t>[DEAL]</t>
        </is>
      </c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30" t="inlineStr">
        <is>
          <t>DEAL</t>
        </is>
      </c>
    </row>
    <row r="12">
      <c r="A12" s="27" t="inlineStr">
        <is>
          <t>2400.11</t>
        </is>
      </c>
      <c r="B12" s="28" t="inlineStr">
        <is>
          <t>Set dressings — purchased</t>
        </is>
      </c>
      <c r="C12" s="27" t="inlineStr">
        <is>
          <t>[DEAL]</t>
        </is>
      </c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30" t="inlineStr">
        <is>
          <t>DEAL</t>
        </is>
      </c>
    </row>
    <row r="13">
      <c r="A13" s="27" t="inlineStr">
        <is>
          <t>2400.12</t>
        </is>
      </c>
      <c r="B13" s="28" t="inlineStr">
        <is>
          <t>Set dressings — rented</t>
        </is>
      </c>
      <c r="C13" s="27" t="inlineStr">
        <is>
          <t>[DEAL]</t>
        </is>
      </c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30" t="inlineStr">
        <is>
          <t>DEAL</t>
        </is>
      </c>
    </row>
    <row r="14">
      <c r="A14" s="27" t="inlineStr">
        <is>
          <t>2400.13</t>
        </is>
      </c>
      <c r="B14" s="28" t="inlineStr">
        <is>
          <t>Graphics / signage</t>
        </is>
      </c>
      <c r="C14" s="27" t="inlineStr">
        <is>
          <t>[DEAL]</t>
        </is>
      </c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2500.01</t>
        </is>
      </c>
      <c r="B2" s="24" t="inlineStr">
        <is>
          <t>Hero prop — 1969 Ford Mustang Boss 429 picture vehicle (black, distressed)</t>
        </is>
      </c>
      <c r="C2" s="5" t="n">
        <v>1</v>
      </c>
      <c r="D2" s="5" t="inlineStr">
        <is>
          <t>Rental-Day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a black, 1969 FORD MUSTANG 'BOSS 429'</t>
        </is>
      </c>
      <c r="M2" s="24" t="inlineStr">
        <is>
          <t>Specific hero picture vehicle; must be period-correct 1969 black Boss 429; needs to appear neglected/unwashed; also flag Transportation (3600)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2500.02</t>
        </is>
      </c>
      <c r="B3" s="24" t="inlineStr">
        <is>
          <t>Hero prop — antique wall-mounted electric alarm clock (silences at 6am)</t>
        </is>
      </c>
      <c r="C3" s="5" t="n">
        <v>1</v>
      </c>
      <c r="D3" s="5" t="inlineStr">
        <is>
          <t>Purchase</t>
        </is>
      </c>
      <c r="E3" s="31" t="n"/>
      <c r="F3" s="6">
        <f>IFERROR(C3*D3*E3,"")</f>
        <v/>
      </c>
      <c r="H3" s="6">
        <f>IFERROR(F3+(F3*G3),"")</f>
        <v/>
      </c>
      <c r="K3" s="32" t="n">
        <v>2</v>
      </c>
      <c r="L3" s="33" t="inlineStr">
        <is>
          <t>hour hand of an old, electric clock shifts slightly, marking six a.m. A soft alarm sounds</t>
        </is>
      </c>
      <c r="M3" s="24" t="inlineStr">
        <is>
          <t>Cast interacts with clock (hand reaches out to silence it); must be practical/functional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2500.03</t>
        </is>
      </c>
      <c r="B4" s="24" t="inlineStr">
        <is>
          <t>Hero prop — old percolator coffee maker (practical, must function on camera)</t>
        </is>
      </c>
      <c r="C4" s="5" t="n">
        <v>1</v>
      </c>
      <c r="D4" s="5" t="inlineStr">
        <is>
          <t>Purchase</t>
        </is>
      </c>
      <c r="E4" s="31" t="n"/>
      <c r="F4" s="6">
        <f>IFERROR(C4*D4*E4,"")</f>
        <v/>
      </c>
      <c r="H4" s="6">
        <f>IFERROR(F4+(F4*G4),"")</f>
        <v/>
      </c>
      <c r="K4" s="32" t="n">
        <v>3</v>
      </c>
      <c r="L4" s="33" t="inlineStr">
        <is>
          <t>measures out a couple of tablespoons of Folgers Coffee into an old percolator</t>
        </is>
      </c>
      <c r="M4" s="24" t="inlineStr">
        <is>
          <t>John uses percolator on camera; must be practical and period-appropriate</t>
        </is>
      </c>
      <c r="N4" s="34" t="inlineStr">
        <is>
          <t>High</t>
        </is>
      </c>
      <c r="O4" s="35" t="inlineStr">
        <is>
          <t>SCRIPT</t>
        </is>
      </c>
    </row>
    <row r="5">
      <c r="A5" s="5" t="inlineStr">
        <is>
          <t>2500.04</t>
        </is>
      </c>
      <c r="B5" s="24" t="inlineStr">
        <is>
          <t>Consumable prop — Folgers Coffee (ground, for on-camera use)</t>
        </is>
      </c>
      <c r="C5" s="5" t="n">
        <v>3</v>
      </c>
      <c r="D5" s="5" t="inlineStr">
        <is>
          <t>Purchase</t>
        </is>
      </c>
      <c r="E5" s="31" t="n"/>
      <c r="F5" s="6">
        <f>IFERROR(C5*D5*E5,"")</f>
        <v/>
      </c>
      <c r="H5" s="6">
        <f>IFERROR(F5+(F5*G5),"")</f>
        <v/>
      </c>
      <c r="K5" s="32" t="n">
        <v>3</v>
      </c>
      <c r="L5" s="33" t="inlineStr">
        <is>
          <t>measures out a couple of tablespoons of Folgers Coffee into an old percolator</t>
        </is>
      </c>
      <c r="M5" s="24" t="inlineStr">
        <is>
          <t>Consumable prop; minimum 3 units for multiple takes</t>
        </is>
      </c>
      <c r="N5" s="34" t="inlineStr">
        <is>
          <t>High</t>
        </is>
      </c>
      <c r="O5" s="35" t="inlineStr">
        <is>
          <t>SCRIPT</t>
        </is>
      </c>
    </row>
    <row r="6">
      <c r="A6" s="5" t="inlineStr">
        <is>
          <t>2500.05</t>
        </is>
      </c>
      <c r="B6" s="24" t="inlineStr">
        <is>
          <t>Hero prop — newspaper (handled and tossed by John)</t>
        </is>
      </c>
      <c r="C6" s="5" t="n">
        <v>5</v>
      </c>
      <c r="D6" s="5" t="inlineStr">
        <is>
          <t>Purchase</t>
        </is>
      </c>
      <c r="E6" s="31" t="n"/>
      <c r="F6" s="6">
        <f>IFERROR(C6*D6*E6,"")</f>
        <v/>
      </c>
      <c r="H6" s="6">
        <f>IFERROR(F6+(F6*G6),"")</f>
        <v/>
      </c>
      <c r="K6" s="32" t="n">
        <v>3</v>
      </c>
      <c r="L6" s="33" t="inlineStr">
        <is>
          <t>John opens the door, retrieves the newspaper...tosses the newspaper onto the table</t>
        </is>
      </c>
      <c r="M6" s="24" t="inlineStr">
        <is>
          <t>Newspaper handled and tossed by cast; multiple copies needed for takes; should look period-appropriate</t>
        </is>
      </c>
      <c r="N6" s="34" t="inlineStr">
        <is>
          <t>High</t>
        </is>
      </c>
      <c r="O6" s="35" t="inlineStr">
        <is>
          <t>SCRIPT</t>
        </is>
      </c>
    </row>
    <row r="7">
      <c r="A7" s="5" t="inlineStr">
        <is>
          <t>2500.06</t>
        </is>
      </c>
      <c r="B7" s="24" t="inlineStr">
        <is>
          <t>Hero prop — wall-mounted telephone (John answers and hangs up)</t>
        </is>
      </c>
      <c r="C7" s="5" t="n">
        <v>1</v>
      </c>
      <c r="D7" s="5" t="inlineStr">
        <is>
          <t>Purchase</t>
        </is>
      </c>
      <c r="E7" s="31" t="n"/>
      <c r="F7" s="6">
        <f>IFERROR(C7*D7*E7,"")</f>
        <v/>
      </c>
      <c r="H7" s="6">
        <f>IFERROR(F7+(F7*G7),"")</f>
        <v/>
      </c>
      <c r="K7" s="32" t="n">
        <v>3</v>
      </c>
      <c r="L7" s="33" t="inlineStr">
        <is>
          <t>the phone on the wall RINGS...he stands, walking slowly to answer it</t>
        </is>
      </c>
      <c r="M7" s="24" t="inlineStr">
        <is>
          <t>Cast interacts with wall phone; must be practical/functional; period-appropriate style</t>
        </is>
      </c>
      <c r="N7" s="34" t="inlineStr">
        <is>
          <t>High</t>
        </is>
      </c>
      <c r="O7" s="35" t="inlineStr">
        <is>
          <t>SCRIPT</t>
        </is>
      </c>
    </row>
    <row r="8">
      <c r="A8" s="5" t="inlineStr">
        <is>
          <t>2500.07</t>
        </is>
      </c>
      <c r="B8" s="24" t="inlineStr">
        <is>
          <t>Hero prop — bouquet of fresh yellow daisies (carried and placed by John)</t>
        </is>
      </c>
      <c r="C8" s="5" t="n">
        <v>5</v>
      </c>
      <c r="D8" s="5" t="inlineStr">
        <is>
          <t>Purchase</t>
        </is>
      </c>
      <c r="E8" s="31" t="n"/>
      <c r="F8" s="6">
        <f>IFERROR(C8*D8*E8,"")</f>
        <v/>
      </c>
      <c r="H8" s="6">
        <f>IFERROR(F8+(F8*G8),"")</f>
        <v/>
      </c>
      <c r="K8" s="32" t="n">
        <v>3</v>
      </c>
      <c r="L8" s="33" t="inlineStr">
        <is>
          <t>Carrying a humble bouquet of yellow daisies...replaces them with fresh ones</t>
        </is>
      </c>
      <c r="M8" s="24" t="inlineStr">
        <is>
          <t>John carries and places daisies; also removes wilted ones from vase; multiple sets needed for takes</t>
        </is>
      </c>
      <c r="N8" s="34" t="inlineStr">
        <is>
          <t>High</t>
        </is>
      </c>
      <c r="O8" s="35" t="inlineStr">
        <is>
          <t>SCRIPT</t>
        </is>
      </c>
    </row>
    <row r="9">
      <c r="A9" s="5" t="inlineStr">
        <is>
          <t>2500.08</t>
        </is>
      </c>
      <c r="B9" s="24" t="inlineStr">
        <is>
          <t>Hero prop — wilted/dead daisies in vase (removed and discarded by John)</t>
        </is>
      </c>
      <c r="C9" s="5" t="n">
        <v>5</v>
      </c>
      <c r="D9" s="5" t="inlineStr">
        <is>
          <t>Purchase</t>
        </is>
      </c>
      <c r="E9" s="31" t="n"/>
      <c r="F9" s="6">
        <f>IFERROR(C9*D9*E9,"")</f>
        <v/>
      </c>
      <c r="H9" s="6">
        <f>IFERROR(F9+(F9*G9),"")</f>
        <v/>
      </c>
      <c r="K9" s="32" t="n">
        <v>3</v>
      </c>
      <c r="L9" s="33" t="inlineStr">
        <is>
          <t>He removes the wilted daisies from the vase, tosses them in the trash</t>
        </is>
      </c>
      <c r="M9" s="24" t="inlineStr">
        <is>
          <t>Separate from fresh bouquet; pre-wilted/dying flowers; multiple sets for takes</t>
        </is>
      </c>
      <c r="N9" s="34" t="inlineStr">
        <is>
          <t>High</t>
        </is>
      </c>
      <c r="O9" s="35" t="inlineStr">
        <is>
          <t>SCRIPT</t>
        </is>
      </c>
    </row>
    <row r="10">
      <c r="A10" s="5" t="inlineStr">
        <is>
          <t>2500.09</t>
        </is>
      </c>
      <c r="B10" s="24" t="inlineStr">
        <is>
          <t>Hero prop — flower vase (hospital room, handled by John)</t>
        </is>
      </c>
      <c r="C10" s="5" t="n">
        <v>3</v>
      </c>
      <c r="D10" s="5" t="inlineStr">
        <is>
          <t>Purchase</t>
        </is>
      </c>
      <c r="E10" s="31" t="n"/>
      <c r="F10" s="6">
        <f>IFERROR(C10*D10*E10,"")</f>
        <v/>
      </c>
      <c r="H10" s="6">
        <f>IFERROR(F10+(F10*G10),"")</f>
        <v/>
      </c>
      <c r="K10" s="32" t="n">
        <v>3</v>
      </c>
      <c r="L10" s="33" t="inlineStr">
        <is>
          <t>He removes the wilted daisies from the vase...replaces them with fresh ones</t>
        </is>
      </c>
      <c r="M10" s="24" t="inlineStr">
        <is>
          <t>Vase is handled by cast on camera; minimum 3 units</t>
        </is>
      </c>
      <c r="N10" s="34" t="inlineStr">
        <is>
          <t>High</t>
        </is>
      </c>
      <c r="O10" s="35" t="inlineStr">
        <is>
          <t>SCRIPT</t>
        </is>
      </c>
    </row>
    <row r="11">
      <c r="A11" s="5" t="inlineStr">
        <is>
          <t>2500.10</t>
        </is>
      </c>
      <c r="B11" s="24" t="inlineStr">
        <is>
          <t>Hero prop — bottle of scotch whiskey (opened, poured, consumed by John)</t>
        </is>
      </c>
      <c r="C11" s="5" t="n">
        <v>3</v>
      </c>
      <c r="D11" s="5" t="inlineStr">
        <is>
          <t>Purchase</t>
        </is>
      </c>
      <c r="E11" s="31" t="n"/>
      <c r="F11" s="6">
        <f>IFERROR(C11*D11*E11,"")</f>
        <v/>
      </c>
      <c r="H11" s="6">
        <f>IFERROR(F11+(F11*G11),"")</f>
        <v/>
      </c>
      <c r="K11" s="32" t="n">
        <v>5</v>
      </c>
      <c r="L11" s="33" t="inlineStr">
        <is>
          <t>John unscrews the cap off the bottle of scotch and pours himself a healthy dose</t>
        </is>
      </c>
      <c r="M11" s="24" t="inlineStr">
        <is>
          <t>Consumable hero prop; cast interacts extensively; non-alcoholic picture stand-in likely needed; minimum 3 bottles</t>
        </is>
      </c>
      <c r="N11" s="34" t="inlineStr">
        <is>
          <t>High</t>
        </is>
      </c>
      <c r="O11" s="35" t="inlineStr">
        <is>
          <t>SCRIPT</t>
        </is>
      </c>
    </row>
    <row r="12">
      <c r="A12" s="5" t="inlineStr">
        <is>
          <t>2500.11</t>
        </is>
      </c>
      <c r="B12" s="24" t="inlineStr">
        <is>
          <t>Hero prop — old pack of cigarettes (handled, tapped, placed in lips, lit by John)</t>
        </is>
      </c>
      <c r="C12" s="5" t="n">
        <v>5</v>
      </c>
      <c r="D12" s="5" t="inlineStr">
        <is>
          <t>Purchase</t>
        </is>
      </c>
      <c r="E12" s="31" t="n"/>
      <c r="F12" s="6">
        <f>IFERROR(C12*D12*E12,"")</f>
        <v/>
      </c>
      <c r="H12" s="6">
        <f>IFERROR(F12+(F12*G12),"")</f>
        <v/>
      </c>
      <c r="K12" s="32" t="n">
        <v>5</v>
      </c>
      <c r="L12" s="33" t="inlineStr">
        <is>
          <t>finds an old pack of cigarettes, half-empty. He taps one from, places it between his lips, and lights it</t>
        </is>
      </c>
      <c r="M12" s="24" t="inlineStr">
        <is>
          <t>Cigarettes consumed on camera; herbal/prop cigarettes likely required; multiple packs for takes</t>
        </is>
      </c>
      <c r="N12" s="34" t="inlineStr">
        <is>
          <t>High</t>
        </is>
      </c>
      <c r="O12" s="35" t="inlineStr">
        <is>
          <t>SCRIPT</t>
        </is>
      </c>
    </row>
    <row r="13">
      <c r="A13" s="5" t="inlineStr">
        <is>
          <t>2500.12</t>
        </is>
      </c>
      <c r="B13" s="24" t="inlineStr">
        <is>
          <t>Hero prop — cigarette lighter (used on camera by John)</t>
        </is>
      </c>
      <c r="C13" s="5" t="n">
        <v>2</v>
      </c>
      <c r="D13" s="5" t="inlineStr">
        <is>
          <t>Purchase</t>
        </is>
      </c>
      <c r="E13" s="31" t="n"/>
      <c r="F13" s="6">
        <f>IFERROR(C13*D13*E13,"")</f>
        <v/>
      </c>
      <c r="H13" s="6">
        <f>IFERROR(F13+(F13*G13),"")</f>
        <v/>
      </c>
      <c r="K13" s="32" t="n">
        <v>5</v>
      </c>
      <c r="L13" s="33" t="inlineStr">
        <is>
          <t>places it between his lips, and lights it, taking a deep pull</t>
        </is>
      </c>
      <c r="M13" s="24" t="inlineStr">
        <is>
          <t>Lighter handled and used on camera; backup unit required</t>
        </is>
      </c>
      <c r="N13" s="34" t="inlineStr">
        <is>
          <t>High</t>
        </is>
      </c>
      <c r="O13" s="35" t="inlineStr">
        <is>
          <t>SCRIPT</t>
        </is>
      </c>
    </row>
    <row r="14">
      <c r="A14" s="5" t="inlineStr">
        <is>
          <t>2500.13</t>
        </is>
      </c>
      <c r="B14" s="24" t="inlineStr">
        <is>
          <t>Hero prop — prescription pill bottle labeled 'NORMA WICK / OXYCONTIN' with pills</t>
        </is>
      </c>
      <c r="C14" s="5" t="n">
        <v>3</v>
      </c>
      <c r="D14" s="5" t="inlineStr">
        <is>
          <t>Purchase</t>
        </is>
      </c>
      <c r="E14" s="31" t="n"/>
      <c r="F14" s="6">
        <f>IFERROR(C14*D14*E14,"")</f>
        <v/>
      </c>
      <c r="H14" s="6">
        <f>IFERROR(F14+(F14*G14),"")</f>
        <v/>
      </c>
      <c r="K14" s="32" t="n">
        <v>5</v>
      </c>
      <c r="L14" s="33" t="inlineStr">
        <is>
          <t>opens a BOTTLE OF PILLS (The label reading NORMA WICK and OXYCONTIN), pouring them into a small mound</t>
        </is>
      </c>
      <c r="M14" s="24" t="inlineStr">
        <is>
          <t>Hero prop with custom label; pills poured onto desk and handled; prop pills required (not real); minimum 3 hero bottles with multiple sets of prop pills</t>
        </is>
      </c>
      <c r="N14" s="34" t="inlineStr">
        <is>
          <t>High</t>
        </is>
      </c>
      <c r="O14" s="35" t="inlineStr">
        <is>
          <t>SCRIPT</t>
        </is>
      </c>
    </row>
    <row r="15">
      <c r="A15" s="5" t="inlineStr">
        <is>
          <t>2500.14</t>
        </is>
      </c>
      <c r="B15" s="24" t="inlineStr">
        <is>
          <t>Hero prop — pencil and pad of paper (held, written on, set aside by John)</t>
        </is>
      </c>
      <c r="C15" s="5" t="n">
        <v>3</v>
      </c>
      <c r="D15" s="5" t="inlineStr">
        <is>
          <t>Purchase</t>
        </is>
      </c>
      <c r="E15" s="31" t="n"/>
      <c r="F15" s="6">
        <f>IFERROR(C15*D15*E15,"")</f>
        <v/>
      </c>
      <c r="H15" s="6">
        <f>IFERROR(F15+(F15*G15),"")</f>
        <v/>
      </c>
      <c r="K15" s="32" t="n">
        <v>5</v>
      </c>
      <c r="L15" s="33" t="inlineStr">
        <is>
          <t>John sits at his desk with a pencil in hand, a pad of paper before him, thinking</t>
        </is>
      </c>
      <c r="M15" s="24" t="inlineStr">
        <is>
          <t>Both items handled on camera by cast; multiple sets for continuity</t>
        </is>
      </c>
      <c r="N15" s="34" t="inlineStr">
        <is>
          <t>High</t>
        </is>
      </c>
      <c r="O15" s="35" t="inlineStr">
        <is>
          <t>SCRIPT</t>
        </is>
      </c>
    </row>
    <row r="16">
      <c r="A16" s="5" t="inlineStr">
        <is>
          <t>2500.15</t>
        </is>
      </c>
      <c r="B16" s="24" t="inlineStr">
        <is>
          <t>Hero prop — small pet carrier / plastic case (delivered, carried, lifted by John)</t>
        </is>
      </c>
      <c r="C16" s="5" t="n">
        <v>1</v>
      </c>
      <c r="D16" s="5" t="inlineStr">
        <is>
          <t>Purchase</t>
        </is>
      </c>
      <c r="E16" s="31" t="n"/>
      <c r="F16" s="6">
        <f>IFERROR(C16*D16*E16,"")</f>
        <v/>
      </c>
      <c r="H16" s="6">
        <f>IFERROR(F16+(F16*G16),"")</f>
        <v/>
      </c>
      <c r="K16" s="32" t="n">
        <v>6</v>
      </c>
      <c r="L16" s="33" t="inlineStr">
        <is>
          <t>a PLASTIC CASE by the handle which he takes without looking...he is actually holding a small PET CARRIER</t>
        </is>
      </c>
      <c r="M16" s="24" t="inlineStr">
        <is>
          <t>Pet carrier is handled extensively by cast; must house live dog on camera</t>
        </is>
      </c>
      <c r="N16" s="34" t="inlineStr">
        <is>
          <t>High</t>
        </is>
      </c>
      <c r="O16" s="35" t="inlineStr">
        <is>
          <t>SCRIPT</t>
        </is>
      </c>
    </row>
    <row r="17">
      <c r="A17" s="5" t="inlineStr">
        <is>
          <t>2500.16</t>
        </is>
      </c>
      <c r="B17" s="24" t="inlineStr">
        <is>
          <t>Animal — live Chorgi dog (half-Corgi, half-Chihuahua, tri-colored: black, white, brown)</t>
        </is>
      </c>
      <c r="C17" s="5" t="n">
        <v>1</v>
      </c>
      <c r="D17" s="5" t="inlineStr">
        <is>
          <t>Days</t>
        </is>
      </c>
      <c r="E17" s="31" t="n"/>
      <c r="F17" s="6">
        <f>IFERROR(C17*D17*E17,"")</f>
        <v/>
      </c>
      <c r="H17" s="6">
        <f>IFERROR(F17+(F17*G17),"")</f>
        <v/>
      </c>
      <c r="K17" s="32" t="n">
        <v>6</v>
      </c>
      <c r="L17" s="33" t="inlineStr">
        <is>
          <t>the face of a young, tri-colored (black, white, and brown), CHORGI looks out at him, her tail wagging</t>
        </is>
      </c>
      <c r="M17" s="24" t="inlineStr">
        <is>
          <t>Live animal on set; requires licensed animal handler (also flag 2500 for animal rental); dog interacts with John on camera</t>
        </is>
      </c>
      <c r="N17" s="34" t="inlineStr">
        <is>
          <t>High</t>
        </is>
      </c>
      <c r="O17" s="35" t="inlineStr">
        <is>
          <t>SCRIPT</t>
        </is>
      </c>
    </row>
    <row r="18">
      <c r="A18" s="5" t="inlineStr">
        <is>
          <t>2500.17</t>
        </is>
      </c>
      <c r="B18" s="24" t="inlineStr">
        <is>
          <t>Licensed animal handler — Chorgi dog (legally mandated for live animal on set)</t>
        </is>
      </c>
      <c r="C18" s="5" t="n">
        <v>1</v>
      </c>
      <c r="D18" s="5" t="inlineStr">
        <is>
          <t>Days</t>
        </is>
      </c>
      <c r="E18" s="31" t="n"/>
      <c r="F18" s="6">
        <f>IFERROR(C18*D18*E18,"")</f>
        <v/>
      </c>
      <c r="H18" s="6">
        <f>IFERROR(F18+(F18*G18),"")</f>
        <v/>
      </c>
      <c r="K18" s="32" t="n">
        <v>6</v>
      </c>
      <c r="L18" s="33" t="inlineStr">
        <is>
          <t>the face of a young, tri-colored CHORGI looks out at him, her tail wagging fiercely</t>
        </is>
      </c>
      <c r="M18" s="24" t="inlineStr">
        <is>
          <t>Legally mandated licensed handler for any animal on set; also consider multiple trained dogs for continuity</t>
        </is>
      </c>
      <c r="N18" s="34" t="inlineStr">
        <is>
          <t>High</t>
        </is>
      </c>
      <c r="O18" s="35" t="inlineStr">
        <is>
          <t>SCRIPT</t>
        </is>
      </c>
    </row>
    <row r="19">
      <c r="A19" s="5" t="inlineStr">
        <is>
          <t>2500.18</t>
        </is>
      </c>
      <c r="B19" s="24" t="inlineStr">
        <is>
          <t>Hero prop — greeting card with daisy illustration (opened and read by John)</t>
        </is>
      </c>
      <c r="C19" s="5" t="n">
        <v>5</v>
      </c>
      <c r="D19" s="5" t="inlineStr">
        <is>
          <t>Purchase</t>
        </is>
      </c>
      <c r="E19" s="31" t="n"/>
      <c r="F19" s="6">
        <f>IFERROR(C19*D19*E19,"")</f>
        <v/>
      </c>
      <c r="H19" s="6">
        <f>IFERROR(F19+(F19*G19),"")</f>
        <v/>
      </c>
      <c r="K19" s="32" t="n">
        <v>6</v>
      </c>
      <c r="L19" s="33" t="inlineStr">
        <is>
          <t>The card inside is simple; white with a single DAISY drawn upon it...running a thumb along the face</t>
        </is>
      </c>
      <c r="M19" s="24" t="inlineStr">
        <is>
          <t>Custom-fabricated card; John reads and handles it; multiple copies for takes</t>
        </is>
      </c>
      <c r="N19" s="34" t="inlineStr">
        <is>
          <t>High</t>
        </is>
      </c>
      <c r="O19" s="35" t="inlineStr">
        <is>
          <t>SCRIPT</t>
        </is>
      </c>
    </row>
    <row r="20">
      <c r="A20" s="5" t="inlineStr">
        <is>
          <t>2500.19</t>
        </is>
      </c>
      <c r="B20" s="24" t="inlineStr">
        <is>
          <t>Hero prop — envelope containing greeting card (opened by John)</t>
        </is>
      </c>
      <c r="C20" s="5" t="n">
        <v>5</v>
      </c>
      <c r="D20" s="5" t="inlineStr">
        <is>
          <t>Purchase</t>
        </is>
      </c>
      <c r="E20" s="31" t="n"/>
      <c r="F20" s="6">
        <f>IFERROR(C20*D20*E20,"")</f>
        <v/>
      </c>
      <c r="H20" s="6">
        <f>IFERROR(F20+(F20*G20),"")</f>
        <v/>
      </c>
      <c r="K20" s="32" t="n">
        <v>6</v>
      </c>
      <c r="L20" s="33" t="inlineStr">
        <is>
          <t>Holding the envelope in his hands, John sits...and John opens the letter</t>
        </is>
      </c>
      <c r="M20" s="24" t="inlineStr">
        <is>
          <t>Envelope handled and opened on camera; multiple copies for takes</t>
        </is>
      </c>
      <c r="N20" s="34" t="inlineStr">
        <is>
          <t>High</t>
        </is>
      </c>
      <c r="O20" s="35" t="inlineStr">
        <is>
          <t>SCRIPT</t>
        </is>
      </c>
    </row>
    <row r="21">
      <c r="A21" s="5" t="inlineStr">
        <is>
          <t>2500.20</t>
        </is>
      </c>
      <c r="B21" s="24" t="inlineStr">
        <is>
          <t>Hero prop — delivery clipboard and pen (signed by John, returned to Delivery Woman)</t>
        </is>
      </c>
      <c r="C21" s="5" t="n">
        <v>3</v>
      </c>
      <c r="D21" s="5" t="inlineStr">
        <is>
          <t>Purchase</t>
        </is>
      </c>
      <c r="E21" s="31" t="n"/>
      <c r="F21" s="6">
        <f>IFERROR(C21*D21*E21,"")</f>
        <v/>
      </c>
      <c r="H21" s="6">
        <f>IFERROR(F21+(F21*G21),"")</f>
        <v/>
      </c>
      <c r="K21" s="32" t="n">
        <v>5</v>
      </c>
      <c r="L21" s="33" t="inlineStr">
        <is>
          <t>She hands him a clipboard and a pen...John signs the clipboard and hands it back</t>
        </is>
      </c>
      <c r="M21" s="24" t="inlineStr">
        <is>
          <t>Both clipboard and pen handled by cast on camera; multiple sets for takes</t>
        </is>
      </c>
      <c r="N21" s="34" t="inlineStr">
        <is>
          <t>High</t>
        </is>
      </c>
      <c r="O21" s="35" t="inlineStr">
        <is>
          <t>SCRIPT</t>
        </is>
      </c>
    </row>
    <row r="22">
      <c r="A22" s="5" t="inlineStr">
        <is>
          <t>2500.21</t>
        </is>
      </c>
      <c r="B22" s="24" t="inlineStr">
        <is>
          <t>Breakaway/destructible props — framed family photographs (punched off wall and destroyed by John)</t>
        </is>
      </c>
      <c r="C22" s="5" t="n">
        <v>6</v>
      </c>
      <c r="D22" s="5" t="inlineStr">
        <is>
          <t>Purchase</t>
        </is>
      </c>
      <c r="E22" s="31" t="n"/>
      <c r="F22" s="6">
        <f>IFERROR(C22*D22*E22,"")</f>
        <v/>
      </c>
      <c r="H22" s="6">
        <f>IFERROR(F22+(F22*G22),"")</f>
        <v/>
      </c>
      <c r="K22" s="32" t="n">
        <v>4</v>
      </c>
      <c r="L22" s="33" t="inlineStr">
        <is>
          <t>punches the pictures, ripping them from the wall, tossing them aside</t>
        </is>
      </c>
      <c r="M22" s="24" t="inlineStr">
        <is>
          <t>Breakaway/destructible picture frames; John physically destroys them; minimum quantity 6 (multiple frames ripped down, multiple takes); custom photo fabrication required</t>
        </is>
      </c>
      <c r="N22" s="34" t="inlineStr">
        <is>
          <t>High</t>
        </is>
      </c>
      <c r="O22" s="35" t="inlineStr">
        <is>
          <t>SCRIPT</t>
        </is>
      </c>
    </row>
    <row r="23">
      <c r="A23" s="5" t="inlineStr">
        <is>
          <t>2500.22</t>
        </is>
      </c>
      <c r="B23" s="24" t="inlineStr">
        <is>
          <t>Hero prop — glass/tumbler (poured into and drunk from by John)</t>
        </is>
      </c>
      <c r="C23" s="5" t="n">
        <v>3</v>
      </c>
      <c r="D23" s="5" t="inlineStr">
        <is>
          <t>Purchase</t>
        </is>
      </c>
      <c r="E23" s="31" t="n"/>
      <c r="F23" s="6">
        <f>IFERROR(C23*D23*E23,"")</f>
        <v/>
      </c>
      <c r="H23" s="6">
        <f>IFERROR(F23+(F23*G23),"")</f>
        <v/>
      </c>
      <c r="K23" s="32" t="n">
        <v>5</v>
      </c>
      <c r="L23" s="33" t="inlineStr">
        <is>
          <t>pours himself a healthy dose...He finishes his drink...pours himself another</t>
        </is>
      </c>
      <c r="M23" s="24" t="inlineStr">
        <is>
          <t>Drinking vessel handled and used on camera; multiple units for takes</t>
        </is>
      </c>
      <c r="N23" s="34" t="inlineStr">
        <is>
          <t>High</t>
        </is>
      </c>
      <c r="O23" s="35" t="inlineStr">
        <is>
          <t>SCRIPT</t>
        </is>
      </c>
    </row>
    <row r="24">
      <c r="A24" s="5" t="inlineStr">
        <is>
          <t>2500.23</t>
        </is>
      </c>
      <c r="B24" s="24" t="inlineStr">
        <is>
          <t>Hero prop — coffee cup/mug (poured into and drunk from by John at kitchen table)</t>
        </is>
      </c>
      <c r="C24" s="5" t="n">
        <v>3</v>
      </c>
      <c r="D24" s="5" t="inlineStr">
        <is>
          <t>Purchase</t>
        </is>
      </c>
      <c r="E24" s="31" t="n"/>
      <c r="F24" s="6">
        <f>IFERROR(C24*D24*E24,"")</f>
        <v/>
      </c>
      <c r="H24" s="6">
        <f>IFERROR(F24+(F24*G24),"")</f>
        <v/>
      </c>
      <c r="K24" s="32" t="n">
        <v>3</v>
      </c>
      <c r="L24" s="33" t="inlineStr">
        <is>
          <t>He pours himself a cup of coffee and sits at the table...John lowers his cup</t>
        </is>
      </c>
      <c r="M24" s="24" t="inlineStr">
        <is>
          <t>Cast handles and drinks from cup on camera; multiple units for takes and continuity</t>
        </is>
      </c>
      <c r="N24" s="34" t="inlineStr">
        <is>
          <t>High</t>
        </is>
      </c>
      <c r="O24" s="35" t="inlineStr">
        <is>
          <t>SCRIPT</t>
        </is>
      </c>
    </row>
    <row r="25">
      <c r="A25" s="27" t="inlineStr">
        <is>
          <t>2500.24</t>
        </is>
      </c>
      <c r="B25" s="28" t="inlineStr">
        <is>
          <t>Property Master</t>
        </is>
      </c>
      <c r="C25" s="27" t="inlineStr">
        <is>
          <t>[DEAL]</t>
        </is>
      </c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30" t="inlineStr">
        <is>
          <t>DEAL</t>
        </is>
      </c>
    </row>
    <row r="26">
      <c r="A26" s="27" t="inlineStr">
        <is>
          <t>2500.25</t>
        </is>
      </c>
      <c r="B26" s="28" t="inlineStr">
        <is>
          <t>Assistant Property Master</t>
        </is>
      </c>
      <c r="C26" s="27" t="inlineStr">
        <is>
          <t>[DEAL]</t>
        </is>
      </c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30" t="inlineStr">
        <is>
          <t>DEAL</t>
        </is>
      </c>
    </row>
    <row r="27">
      <c r="A27" s="27" t="inlineStr">
        <is>
          <t>2500.26</t>
        </is>
      </c>
      <c r="B27" s="28" t="inlineStr">
        <is>
          <t>Prop rentals</t>
        </is>
      </c>
      <c r="C27" s="27" t="inlineStr">
        <is>
          <t>[DEAL]</t>
        </is>
      </c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30" t="inlineStr">
        <is>
          <t>DEAL</t>
        </is>
      </c>
    </row>
    <row r="28">
      <c r="A28" s="27" t="inlineStr">
        <is>
          <t>2500.27</t>
        </is>
      </c>
      <c r="B28" s="28" t="inlineStr">
        <is>
          <t>Prop purchases</t>
        </is>
      </c>
      <c r="C28" s="27" t="inlineStr">
        <is>
          <t>[DEAL]</t>
        </is>
      </c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2600.01</t>
        </is>
      </c>
      <c r="B2" s="28" t="inlineStr">
        <is>
          <t>Director of Photography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2600.02</t>
        </is>
      </c>
      <c r="B3" s="28" t="inlineStr">
        <is>
          <t>Camera Operator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2600.03</t>
        </is>
      </c>
      <c r="B4" s="28" t="inlineStr">
        <is>
          <t>1st AC / Focus Puller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2600.04</t>
        </is>
      </c>
      <c r="B5" s="28" t="inlineStr">
        <is>
          <t>2nd AC / Loader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2600.05</t>
        </is>
      </c>
      <c r="B6" s="28" t="inlineStr">
        <is>
          <t>Main Camera Package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2700.01</t>
        </is>
      </c>
      <c r="B2" s="24" t="inlineStr">
        <is>
          <t>Rain tower kit / wet-down package — exterior hospital establishing shot</t>
        </is>
      </c>
      <c r="C2" s="5" t="n">
        <v>1</v>
      </c>
      <c r="D2" s="5" t="inlineStr">
        <is>
          <t>Rental-Day</t>
        </is>
      </c>
      <c r="E2" s="31" t="n"/>
      <c r="F2" s="6">
        <f>IFERROR(C2*D2*E2,"")</f>
        <v/>
      </c>
      <c r="H2" s="6">
        <f>IFERROR(F2+(F2*G2),"")</f>
        <v/>
      </c>
      <c r="K2" s="32" t="n">
        <v>3</v>
      </c>
      <c r="L2" s="33" t="inlineStr">
        <is>
          <t>A soft rain begins to fall.</t>
        </is>
      </c>
      <c r="M2" s="24" t="inlineStr">
        <is>
          <t>EXT. THE HOSPITAL - ESTABLISHING - DAY; practical rain effect required for exterior shot.</t>
        </is>
      </c>
      <c r="N2" s="34" t="inlineStr">
        <is>
          <t>High</t>
        </is>
      </c>
      <c r="O2" s="35" t="inlineStr">
        <is>
          <t>SCRIPT</t>
        </is>
      </c>
    </row>
    <row r="3">
      <c r="A3" s="27" t="inlineStr">
        <is>
          <t>2700.02</t>
        </is>
      </c>
      <c r="B3" s="28" t="inlineStr">
        <is>
          <t>Gaffer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2700.03</t>
        </is>
      </c>
      <c r="B4" s="28" t="inlineStr">
        <is>
          <t>Best Boy Electric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2700.04</t>
        </is>
      </c>
      <c r="B5" s="28" t="inlineStr">
        <is>
          <t>Electricians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2700.05</t>
        </is>
      </c>
      <c r="B6" s="28" t="inlineStr">
        <is>
          <t>Lighting Package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  <row r="7">
      <c r="A7" s="27" t="inlineStr">
        <is>
          <t>2700.06</t>
        </is>
      </c>
      <c r="B7" s="28" t="inlineStr">
        <is>
          <t>Generator rental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</sheetData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2800.01</t>
        </is>
      </c>
      <c r="B2" s="28" t="inlineStr">
        <is>
          <t>Key Grip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2800.02</t>
        </is>
      </c>
      <c r="B3" s="28" t="inlineStr">
        <is>
          <t>Best Boy Grip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2800.03</t>
        </is>
      </c>
      <c r="B4" s="28" t="inlineStr">
        <is>
          <t>Dolly Grip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2800.04</t>
        </is>
      </c>
      <c r="B5" s="28" t="inlineStr">
        <is>
          <t>Grip Package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2900.01</t>
        </is>
      </c>
      <c r="B2" s="28" t="inlineStr">
        <is>
          <t>Production Sound Mixer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2900.02</t>
        </is>
      </c>
      <c r="B3" s="28" t="inlineStr">
        <is>
          <t>Boom Operator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2900.03</t>
        </is>
      </c>
      <c r="B4" s="28" t="inlineStr">
        <is>
          <t>Sound Package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2900.04</t>
        </is>
      </c>
      <c r="B5" s="28" t="inlineStr">
        <is>
          <t>Walkie-talkies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2950.01</t>
        </is>
      </c>
      <c r="B2" s="28" t="inlineStr">
        <is>
          <t>Stunt Coordinator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2950.02</t>
        </is>
      </c>
      <c r="B3" s="28" t="inlineStr">
        <is>
          <t>Stunt Performer(s)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2950.03</t>
        </is>
      </c>
      <c r="B4" s="28" t="inlineStr">
        <is>
          <t>Safety Officer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2950.04</t>
        </is>
      </c>
      <c r="B5" s="28" t="inlineStr">
        <is>
          <t>Stunt Equipment / Rigging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3000.01</t>
        </is>
      </c>
      <c r="B2" s="28" t="inlineStr">
        <is>
          <t>FX Coordinator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3000.02</t>
        </is>
      </c>
      <c r="B3" s="28" t="inlineStr">
        <is>
          <t>FX Crew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3000.03</t>
        </is>
      </c>
      <c r="B4" s="28" t="inlineStr">
        <is>
          <t>FX Materials / consumables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3100.01</t>
        </is>
      </c>
      <c r="B2" s="28" t="inlineStr">
        <is>
          <t>VFX Supervisor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3100.02</t>
        </is>
      </c>
      <c r="B3" s="28" t="inlineStr">
        <is>
          <t>VFX Production / labor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3100.03</t>
        </is>
      </c>
      <c r="B4" s="28" t="inlineStr">
        <is>
          <t>VFX Software / tools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3200.01</t>
        </is>
      </c>
      <c r="B2" s="28" t="inlineStr">
        <is>
          <t>Set Carpenter (standby)</t>
        </is>
      </c>
      <c r="C2" s="27" t="inlineStr">
        <is>
          <t>[SCHEDULE]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6" t="inlineStr">
        <is>
          <t>SCHEDULE</t>
        </is>
      </c>
    </row>
    <row r="3">
      <c r="A3" s="27" t="inlineStr">
        <is>
          <t>3200.02</t>
        </is>
      </c>
      <c r="B3" s="28" t="inlineStr">
        <is>
          <t>Standby Painter</t>
        </is>
      </c>
      <c r="C3" s="27" t="inlineStr">
        <is>
          <t>[SCHEDULE]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6" t="inlineStr">
        <is>
          <t>SCHEDULE</t>
        </is>
      </c>
    </row>
    <row r="4">
      <c r="A4" s="27" t="inlineStr">
        <is>
          <t>3200.03</t>
        </is>
      </c>
      <c r="B4" s="28" t="inlineStr">
        <is>
          <t>Craft Service</t>
        </is>
      </c>
      <c r="C4" s="27" t="inlineStr">
        <is>
          <t>[SCHEDULE]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6" t="inlineStr">
        <is>
          <t>SCHEDULE</t>
        </is>
      </c>
    </row>
    <row r="5">
      <c r="A5" s="27" t="inlineStr">
        <is>
          <t>3200.04</t>
        </is>
      </c>
      <c r="B5" s="28" t="inlineStr">
        <is>
          <t>First Aid / On-set Nurse</t>
        </is>
      </c>
      <c r="C5" s="27" t="inlineStr">
        <is>
          <t>[SCHEDULE]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6" t="inlineStr">
        <is>
          <t>SCHEDULE</t>
        </is>
      </c>
    </row>
    <row r="6">
      <c r="A6" s="27" t="inlineStr">
        <is>
          <t>3200.05</t>
        </is>
      </c>
      <c r="B6" s="28" t="inlineStr">
        <is>
          <t>Security</t>
        </is>
      </c>
      <c r="C6" s="27" t="inlineStr">
        <is>
          <t>[SCHEDULE]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6" t="inlineStr">
        <is>
          <t>SCHEDULE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3300.01</t>
        </is>
      </c>
      <c r="B2" s="24" t="inlineStr">
        <is>
          <t>John Wick — weathered robe and slippers (hero costume)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donning a weathered robe and a pair of slippers</t>
        </is>
      </c>
      <c r="M2" s="24" t="inlineStr">
        <is>
          <t>Hero costume item; robe described as weathered — distressing required.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3300.02</t>
        </is>
      </c>
      <c r="B3" s="24" t="inlineStr">
        <is>
          <t>John Wick — old but well-fitted gray suit (hero costume)</t>
        </is>
      </c>
      <c r="C3" s="5" t="n">
        <v>1</v>
      </c>
      <c r="D3" s="5" t="inlineStr">
        <is>
          <t>Allow</t>
        </is>
      </c>
      <c r="E3" s="31" t="n"/>
      <c r="F3" s="6">
        <f>IFERROR(C3*D3*E3,"")</f>
        <v/>
      </c>
      <c r="H3" s="6">
        <f>IFERROR(F3+(F3*G3),"")</f>
        <v/>
      </c>
      <c r="K3" s="32" t="n">
        <v>2</v>
      </c>
      <c r="L3" s="33" t="inlineStr">
        <is>
          <t>wearing an old -but well-fitted- gray suit</t>
        </is>
      </c>
      <c r="M3" s="24" t="inlineStr">
        <is>
          <t>Hero suit for funeral/hospital visit; aged/distressed styling required.</t>
        </is>
      </c>
      <c r="N3" s="34" t="inlineStr">
        <is>
          <t>High</t>
        </is>
      </c>
      <c r="O3" s="35" t="inlineStr">
        <is>
          <t>SCRIPT</t>
        </is>
      </c>
    </row>
    <row r="4">
      <c r="A4" s="27" t="inlineStr">
        <is>
          <t>3300.03</t>
        </is>
      </c>
      <c r="B4" s="28" t="inlineStr">
        <is>
          <t>Costume Designer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3300.04</t>
        </is>
      </c>
      <c r="B5" s="28" t="inlineStr">
        <is>
          <t>Wardrobe Supervisor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3300.05</t>
        </is>
      </c>
      <c r="B6" s="28" t="inlineStr">
        <is>
          <t>Costumer(s)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  <row r="7">
      <c r="A7" s="27" t="inlineStr">
        <is>
          <t>3300.06</t>
        </is>
      </c>
      <c r="B7" s="28" t="inlineStr">
        <is>
          <t>Wardrobe Rental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  <row r="8">
      <c r="A8" s="27" t="inlineStr">
        <is>
          <t>3300.07</t>
        </is>
      </c>
      <c r="B8" s="28" t="inlineStr">
        <is>
          <t>Wardrobe Purchases</t>
        </is>
      </c>
      <c r="C8" s="27" t="inlineStr">
        <is>
          <t>[DEAL]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0" t="inlineStr">
        <is>
          <t>DEAL</t>
        </is>
      </c>
    </row>
    <row r="9">
      <c r="A9" s="27" t="inlineStr">
        <is>
          <t>3300.08</t>
        </is>
      </c>
      <c r="B9" s="28" t="inlineStr">
        <is>
          <t>Dry cleaning / laundry</t>
        </is>
      </c>
      <c r="C9" s="27" t="inlineStr">
        <is>
          <t>[DEAL]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3400.01</t>
        </is>
      </c>
      <c r="B2" s="24" t="inlineStr">
        <is>
          <t>Special makeup FX — John Wick bleeding knuckles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4</v>
      </c>
      <c r="L2" s="33" t="inlineStr">
        <is>
          <t>collapsing into a heap, out of breath, his knuckles bleeding</t>
        </is>
      </c>
      <c r="M2" s="24" t="inlineStr">
        <is>
          <t>Practical wound application required for knuckle abrasions on John Wick.</t>
        </is>
      </c>
      <c r="N2" s="34" t="inlineStr">
        <is>
          <t>High</t>
        </is>
      </c>
      <c r="O2" s="35" t="inlineStr">
        <is>
          <t>SCRIPT</t>
        </is>
      </c>
    </row>
    <row r="3">
      <c r="A3" s="27" t="inlineStr">
        <is>
          <t>3400.02</t>
        </is>
      </c>
      <c r="B3" s="28" t="inlineStr">
        <is>
          <t>Head Makeup Artist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3400.03</t>
        </is>
      </c>
      <c r="B4" s="28" t="inlineStr">
        <is>
          <t>Key Hair Stylist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3400.04</t>
        </is>
      </c>
      <c r="B5" s="28" t="inlineStr">
        <is>
          <t>Additional Makeup / Hair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3400.05</t>
        </is>
      </c>
      <c r="B6" s="28" t="inlineStr">
        <is>
          <t>Makeup Supplies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</sheetData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3500.01</t>
        </is>
      </c>
      <c r="B2" s="24" t="inlineStr">
        <is>
          <t>Location permit &amp; fees — exterior countryside/farmhouse (Ardmore, PA)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SUPER: ARDMORE, PENNSYLVANIA. A verdant landscape of rolling hills</t>
        </is>
      </c>
      <c r="M2" s="24" t="inlineStr">
        <is>
          <t>EXT public/rural countryside establishing shot; may require local film permit for Ardmore PA area.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3500.02</t>
        </is>
      </c>
      <c r="B3" s="24" t="inlineStr">
        <is>
          <t>Location permit &amp; fees — exterior hospital establishing</t>
        </is>
      </c>
      <c r="C3" s="5" t="n">
        <v>1</v>
      </c>
      <c r="D3" s="5" t="inlineStr">
        <is>
          <t>Allow</t>
        </is>
      </c>
      <c r="E3" s="31" t="n"/>
      <c r="F3" s="6">
        <f>IFERROR(C3*D3*E3,"")</f>
        <v/>
      </c>
      <c r="H3" s="6">
        <f>IFERROR(F3+(F3*G3),"")</f>
        <v/>
      </c>
      <c r="K3" s="32" t="n">
        <v>3</v>
      </c>
      <c r="L3" s="33" t="inlineStr">
        <is>
          <t>EXT. THE HOSPITAL - ESTABLISHING - DAY</t>
        </is>
      </c>
      <c r="M3" s="24" t="inlineStr">
        <is>
          <t>EXT hospital location; public-facing exterior requires location permit.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3500.03</t>
        </is>
      </c>
      <c r="B4" s="24" t="inlineStr">
        <is>
          <t>Location rental — farmhouse interior and exterior (Wick Home)</t>
        </is>
      </c>
      <c r="C4" s="5" t="n"/>
      <c r="D4" s="5" t="inlineStr">
        <is>
          <t>Rental-Day</t>
        </is>
      </c>
      <c r="E4" s="31" t="n"/>
      <c r="F4" s="6">
        <f>IFERROR(C4*D4*E4,"")</f>
        <v/>
      </c>
      <c r="H4" s="6">
        <f>IFERROR(F4+(F4*G4),"")</f>
        <v/>
      </c>
      <c r="K4" s="32" t="n">
        <v>2</v>
      </c>
      <c r="L4" s="33" t="inlineStr">
        <is>
          <t>A small, quaint, two-bedroom farmhouse: a classic</t>
        </is>
      </c>
      <c r="M4" s="24" t="inlineStr">
        <is>
          <t>Multiple INT scenes across bedroom, hallway, living room, kitchen, basement; plus EXT barn. Primary location requiring multi-room access.</t>
        </is>
      </c>
      <c r="N4" s="34" t="inlineStr">
        <is>
          <t>High</t>
        </is>
      </c>
      <c r="O4" s="35" t="inlineStr">
        <is>
          <t>SCRIPT</t>
        </is>
      </c>
    </row>
    <row r="5">
      <c r="A5" s="5" t="inlineStr">
        <is>
          <t>3500.04</t>
        </is>
      </c>
      <c r="B5" s="24" t="inlineStr">
        <is>
          <t>Location rental — hospital interior (hallway and patient room)</t>
        </is>
      </c>
      <c r="C5" s="5" t="n"/>
      <c r="D5" s="5" t="inlineStr">
        <is>
          <t>Rental-Day</t>
        </is>
      </c>
      <c r="E5" s="31" t="n"/>
      <c r="F5" s="6">
        <f>IFERROR(C5*D5*E5,"")</f>
        <v/>
      </c>
      <c r="H5" s="6">
        <f>IFERROR(F5+(F5*G5),"")</f>
        <v/>
      </c>
      <c r="K5" s="32" t="n">
        <v>3</v>
      </c>
      <c r="L5" s="33" t="inlineStr">
        <is>
          <t>INT. THE HOSPITAL - A HALLWAY - CONTINUOUS</t>
        </is>
      </c>
      <c r="M5" s="24" t="inlineStr">
        <is>
          <t>INT hospital hallway and private patient room with medical equipment; may require hospital location rental.</t>
        </is>
      </c>
      <c r="N5" s="34" t="inlineStr">
        <is>
          <t>High</t>
        </is>
      </c>
      <c r="O5" s="35" t="inlineStr">
        <is>
          <t>SCRIPT</t>
        </is>
      </c>
    </row>
    <row r="6">
      <c r="A6" s="27" t="inlineStr">
        <is>
          <t>3500.05</t>
        </is>
      </c>
      <c r="B6" s="28" t="inlineStr">
        <is>
          <t>Location Manager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  <row r="7">
      <c r="A7" s="27" t="inlineStr">
        <is>
          <t>3500.06</t>
        </is>
      </c>
      <c r="B7" s="28" t="inlineStr">
        <is>
          <t>Location Scout / Survey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  <row r="8">
      <c r="A8" s="27" t="inlineStr">
        <is>
          <t>3500.07</t>
        </is>
      </c>
      <c r="B8" s="28" t="inlineStr">
        <is>
          <t>Police / fire standby</t>
        </is>
      </c>
      <c r="C8" s="27" t="inlineStr">
        <is>
          <t>[DEAL]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0" t="inlineStr">
        <is>
          <t>DEAL</t>
        </is>
      </c>
    </row>
    <row r="9">
      <c r="A9" s="27" t="inlineStr">
        <is>
          <t>3500.08</t>
        </is>
      </c>
      <c r="B9" s="28" t="inlineStr">
        <is>
          <t>Catering</t>
        </is>
      </c>
      <c r="C9" s="27" t="inlineStr">
        <is>
          <t>[DEAL]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30" t="inlineStr">
        <is>
          <t>DEAL</t>
        </is>
      </c>
    </row>
    <row r="10">
      <c r="A10" s="27" t="inlineStr">
        <is>
          <t>3500.09</t>
        </is>
      </c>
      <c r="B10" s="28" t="inlineStr">
        <is>
          <t>Parking / logistics</t>
        </is>
      </c>
      <c r="C10" s="27" t="inlineStr">
        <is>
          <t>[DEAL]</t>
        </is>
      </c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3600.01</t>
        </is>
      </c>
      <c r="B2" s="24" t="inlineStr">
        <is>
          <t>Picture vehicle rental — 1969 Ford Mustang Boss 429 (hero vehicle)</t>
        </is>
      </c>
      <c r="C2" s="5" t="n"/>
      <c r="D2" s="5" t="inlineStr">
        <is>
          <t>Rental-Day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a black, 1969 FORD MUSTANG 'BOSS 429'</t>
        </is>
      </c>
      <c r="M2" s="24" t="inlineStr">
        <is>
          <t>Hero picture car; described as in need of overhaul, belching black smoke — either period-correct distressed vehicle or dressed hero car. Interior and exterior on-camera use.</t>
        </is>
      </c>
      <c r="N2" s="34" t="inlineStr">
        <is>
          <t>High</t>
        </is>
      </c>
      <c r="O2" s="35" t="inlineStr">
        <is>
          <t>SCRIPT</t>
        </is>
      </c>
    </row>
    <row r="3">
      <c r="A3" s="27" t="inlineStr">
        <is>
          <t>3600.02</t>
        </is>
      </c>
      <c r="B3" s="28" t="inlineStr">
        <is>
          <t>Transportation Coordinator</t>
        </is>
      </c>
      <c r="C3" s="27" t="inlineStr">
        <is>
          <t>[SCHEDULE]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6" t="inlineStr">
        <is>
          <t>SCHEDULE</t>
        </is>
      </c>
    </row>
    <row r="4">
      <c r="A4" s="27" t="inlineStr">
        <is>
          <t>3600.03</t>
        </is>
      </c>
      <c r="B4" s="28" t="inlineStr">
        <is>
          <t>Captain Driver</t>
        </is>
      </c>
      <c r="C4" s="27" t="inlineStr">
        <is>
          <t>[SCHEDULE]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6" t="inlineStr">
        <is>
          <t>SCHEDULE</t>
        </is>
      </c>
    </row>
    <row r="5">
      <c r="A5" s="27" t="inlineStr">
        <is>
          <t>3600.04</t>
        </is>
      </c>
      <c r="B5" s="28" t="inlineStr">
        <is>
          <t>Drivers</t>
        </is>
      </c>
      <c r="C5" s="27" t="inlineStr">
        <is>
          <t>[SCHEDULE]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6" t="inlineStr">
        <is>
          <t>SCHEDULE</t>
        </is>
      </c>
    </row>
    <row r="6">
      <c r="A6" s="27" t="inlineStr">
        <is>
          <t>3600.05</t>
        </is>
      </c>
      <c r="B6" s="28" t="inlineStr">
        <is>
          <t>Production vehicles (trucks / vans)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  <row r="7">
      <c r="A7" s="27" t="inlineStr">
        <is>
          <t>3600.06</t>
        </is>
      </c>
      <c r="B7" s="28" t="inlineStr">
        <is>
          <t>Honeywagon / basecamp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</sheetData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3800.01</t>
        </is>
      </c>
      <c r="B2" s="28" t="inlineStr">
        <is>
          <t>Stage rental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3800.02</t>
        </is>
      </c>
      <c r="B3" s="28" t="inlineStr">
        <is>
          <t>Back lot rental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3800.03</t>
        </is>
      </c>
      <c r="B4" s="28" t="inlineStr">
        <is>
          <t>Electric power (stage)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3800.04</t>
        </is>
      </c>
      <c r="B5" s="28" t="inlineStr">
        <is>
          <t>Heating / AC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3900.01</t>
        </is>
      </c>
      <c r="B2" s="24" t="inlineStr">
        <is>
          <t>Background extras — hospital hallway (eerily empty corridor)</t>
        </is>
      </c>
      <c r="C2" s="5" t="n">
        <v>2</v>
      </c>
      <c r="D2" s="5" t="inlineStr">
        <is>
          <t>Days</t>
        </is>
      </c>
      <c r="E2" s="31" t="n"/>
      <c r="F2" s="6">
        <f>IFERROR(C2*D2*E2,"")</f>
        <v/>
      </c>
      <c r="H2" s="6">
        <f>IFERROR(F2+(F2*G2),"")</f>
        <v/>
      </c>
      <c r="K2" s="32" t="n">
        <v>3</v>
      </c>
      <c r="L2" s="33" t="inlineStr">
        <is>
          <t>eerily empty corridor</t>
        </is>
      </c>
      <c r="M2" s="24" t="inlineStr">
        <is>
          <t>Description implies minimal or no background; low count suggested for atmosphere; could be shot empty with no extras needed.</t>
        </is>
      </c>
      <c r="N2" s="38" t="inlineStr">
        <is>
          <t>Low</t>
        </is>
      </c>
      <c r="O2" s="35" t="inlineStr">
        <is>
          <t>SCRIPT</t>
        </is>
      </c>
    </row>
    <row r="3">
      <c r="A3" s="27" t="inlineStr">
        <is>
          <t>3900.02</t>
        </is>
      </c>
      <c r="B3" s="28" t="inlineStr">
        <is>
          <t>Extras Casting fee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3900.03</t>
        </is>
      </c>
      <c r="B4" s="28" t="inlineStr">
        <is>
          <t>Stand-ins</t>
        </is>
      </c>
      <c r="C4" s="27" t="inlineStr">
        <is>
          <t>[SCHEDULE]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6" t="inlineStr">
        <is>
          <t>SCHEDULE</t>
        </is>
      </c>
    </row>
    <row r="5">
      <c r="A5" s="27" t="inlineStr">
        <is>
          <t>3900.04</t>
        </is>
      </c>
      <c r="B5" s="28" t="inlineStr">
        <is>
          <t>Welfare Worker / Teacher (minors)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5100.01</t>
        </is>
      </c>
      <c r="B2" s="28" t="inlineStr">
        <is>
          <t>Post Production Supervisor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5100.02</t>
        </is>
      </c>
      <c r="B3" s="28" t="inlineStr">
        <is>
          <t>Editor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5100.03</t>
        </is>
      </c>
      <c r="B4" s="28" t="inlineStr">
        <is>
          <t>Assistant Editor(s)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5100.04</t>
        </is>
      </c>
      <c r="B5" s="28" t="inlineStr">
        <is>
          <t>Editing Room / Avid rental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5200.01</t>
        </is>
      </c>
      <c r="B2" s="28" t="inlineStr">
        <is>
          <t>Color grading &amp; Digital Intermediate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5200.02</t>
        </is>
      </c>
      <c r="B3" s="28" t="inlineStr">
        <is>
          <t>Digital deliverables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5200.03</t>
        </is>
      </c>
      <c r="B4" s="28" t="inlineStr">
        <is>
          <t>Archival / backup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5300.01</t>
        </is>
      </c>
      <c r="B2" s="28" t="inlineStr">
        <is>
          <t>Sound Designer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5300.02</t>
        </is>
      </c>
      <c r="B3" s="28" t="inlineStr">
        <is>
          <t>Foley Artist + Studio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5300.03</t>
        </is>
      </c>
      <c r="B4" s="28" t="inlineStr">
        <is>
          <t>ADR / Looping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5300.04</t>
        </is>
      </c>
      <c r="B5" s="28" t="inlineStr">
        <is>
          <t>Final Mix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5400.01</t>
        </is>
      </c>
      <c r="B2" s="28" t="inlineStr">
        <is>
          <t>Composer fee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5400.02</t>
        </is>
      </c>
      <c r="B3" s="28" t="inlineStr">
        <is>
          <t>Musicians / orchestration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5400.03</t>
        </is>
      </c>
      <c r="B4" s="28" t="inlineStr">
        <is>
          <t>Music rights / licensing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5400.04</t>
        </is>
      </c>
      <c r="B5" s="28" t="inlineStr">
        <is>
          <t>Score recording studio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5500.01</t>
        </is>
      </c>
      <c r="B2" s="28" t="inlineStr">
        <is>
          <t>Main titles design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5500.02</t>
        </is>
      </c>
      <c r="B3" s="28" t="inlineStr">
        <is>
          <t>End credits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5500.03</t>
        </is>
      </c>
      <c r="B4" s="28" t="inlineStr">
        <is>
          <t>Title card mastering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5600.01</t>
        </is>
      </c>
      <c r="B2" s="28" t="inlineStr">
        <is>
          <t>Opticals / visual effects (post)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5600.02</t>
        </is>
      </c>
      <c r="B3" s="28" t="inlineStr">
        <is>
          <t>Digital intermediate (opticals)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5700.01</t>
        </is>
      </c>
      <c r="B2" s="28" t="inlineStr">
        <is>
          <t>Video deliverables / mastering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5700.02</t>
        </is>
      </c>
      <c r="B3" s="28" t="inlineStr">
        <is>
          <t>Streaming / broadcast specs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6100.01</t>
        </is>
      </c>
      <c r="B2" s="28" t="inlineStr">
        <is>
          <t>Cast insurance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6100.02</t>
        </is>
      </c>
      <c r="B3" s="28" t="inlineStr">
        <is>
          <t>Negative / production insurance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6100.03</t>
        </is>
      </c>
      <c r="B4" s="28" t="inlineStr">
        <is>
          <t>E&amp;O insurance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6100.04</t>
        </is>
      </c>
      <c r="B5" s="28" t="inlineStr">
        <is>
          <t>General liability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6200.01</t>
        </is>
      </c>
      <c r="B2" s="28" t="inlineStr">
        <is>
          <t>Legal fees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6200.02</t>
        </is>
      </c>
      <c r="B3" s="28" t="inlineStr">
        <is>
          <t>Contract preparation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6200.03</t>
        </is>
      </c>
      <c r="B4" s="28" t="inlineStr">
        <is>
          <t>Clearances / chain of title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6300.01</t>
        </is>
      </c>
      <c r="B2" s="28" t="inlineStr">
        <is>
          <t>Unit Publicist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6300.02</t>
        </is>
      </c>
      <c r="B3" s="28" t="inlineStr">
        <is>
          <t>Electronic Press Kit (EPK)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6300.03</t>
        </is>
      </c>
      <c r="B4" s="28" t="inlineStr">
        <is>
          <t>Stills photographer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6400.01</t>
        </is>
      </c>
      <c r="B2" s="28" t="inlineStr">
        <is>
          <t>Accounting / payroll fees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6400.02</t>
        </is>
      </c>
      <c r="B3" s="28" t="inlineStr">
        <is>
          <t>Bank charges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6400.03</t>
        </is>
      </c>
      <c r="B4" s="28" t="inlineStr">
        <is>
          <t>Completion bond (~2.5% of budget)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2026-05-12T18:34:43Z</dcterms:created>
  <dcterms:modified xsi:type="dcterms:W3CDTF">2026-05-12T18:34:43Z</dcterms:modified>
</cp:coreProperties>
</file>
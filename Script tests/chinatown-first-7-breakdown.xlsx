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SHEET" sheetId="1" state="visible" r:id="rId1"/>
    <sheet name="SCENE BREAKDOWN" sheetId="2" state="visible" r:id="rId2"/>
    <sheet name="1100 – Development" sheetId="3" state="visible" r:id="rId3"/>
    <sheet name="1200 – Story &amp; Rights" sheetId="4" state="visible" r:id="rId4"/>
    <sheet name="1400 – Producers Unit" sheetId="5" state="visible" r:id="rId5"/>
    <sheet name="1500 – Directors Unit" sheetId="6" state="visible" r:id="rId6"/>
    <sheet name="1600 – Talent (Cast)" sheetId="7" state="visible" r:id="rId7"/>
    <sheet name="2100 – Production Staff" sheetId="8" state="visible" r:id="rId8"/>
    <sheet name="2200 – Art Direction" sheetId="9" state="visible" r:id="rId9"/>
    <sheet name="2300 – Set Construction" sheetId="10" state="visible" r:id="rId10"/>
    <sheet name="2400 – Set Decoration" sheetId="11" state="visible" r:id="rId11"/>
    <sheet name="2500 – Props" sheetId="12" state="visible" r:id="rId12"/>
    <sheet name="2600 – Camera" sheetId="13" state="visible" r:id="rId13"/>
    <sheet name="2700 – Electric" sheetId="14" state="visible" r:id="rId14"/>
    <sheet name="2800 – Grip" sheetId="15" state="visible" r:id="rId15"/>
    <sheet name="2900 – Production Sound" sheetId="16" state="visible" r:id="rId16"/>
    <sheet name="2950 – Stunts &amp; Safety" sheetId="17" state="visible" r:id="rId17"/>
    <sheet name="3000 – Mechanical FX" sheetId="18" state="visible" r:id="rId18"/>
    <sheet name="3100 – Special VFX" sheetId="19" state="visible" r:id="rId19"/>
    <sheet name="3200 – Set Operations" sheetId="20" state="visible" r:id="rId20"/>
    <sheet name="3300 – Wardrobe" sheetId="21" state="visible" r:id="rId21"/>
    <sheet name="3400 – Makeup &amp; Hair" sheetId="22" state="visible" r:id="rId22"/>
    <sheet name="3500 – Locations" sheetId="23" state="visible" r:id="rId23"/>
    <sheet name="3600 – Transportation" sheetId="24" state="visible" r:id="rId24"/>
    <sheet name="3800 – Studio Facilities" sheetId="25" state="visible" r:id="rId25"/>
    <sheet name="3900 – Atmosphere" sheetId="26" state="visible" r:id="rId26"/>
    <sheet name="5100 – Editing" sheetId="27" state="visible" r:id="rId27"/>
    <sheet name="5200 – Post Film &amp; Lab" sheetId="28" state="visible" r:id="rId28"/>
    <sheet name="5300 – Post Sound" sheetId="29" state="visible" r:id="rId29"/>
    <sheet name="5400 – Music" sheetId="30" state="visible" r:id="rId30"/>
    <sheet name="5500 – Titles" sheetId="31" state="visible" r:id="rId31"/>
    <sheet name="5600 – Opticals &amp; Post VFX" sheetId="32" state="visible" r:id="rId32"/>
    <sheet name="5700 – Post Video" sheetId="33" state="visible" r:id="rId33"/>
    <sheet name="6100 – Insurance" sheetId="34" state="visible" r:id="rId34"/>
    <sheet name="6200 – Legal" sheetId="35" state="visible" r:id="rId35"/>
    <sheet name="6300 – Publicity" sheetId="36" state="visible" r:id="rId36"/>
    <sheet name="6400 – Miscellaneous" sheetId="37" state="visible" r:id="rId3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5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FFFFFF"/>
      <sz val="10"/>
    </font>
    <font>
      <sz val="10"/>
    </font>
    <font>
      <i val="1"/>
      <color rgb="006C757D"/>
      <sz val="10"/>
    </font>
    <font>
      <color rgb="000563C1"/>
      <sz val="10"/>
      <u val="single"/>
    </font>
    <font>
      <color rgb="006C757D"/>
      <sz val="10"/>
    </font>
    <font>
      <color rgb="00385723"/>
      <sz val="10"/>
    </font>
    <font>
      <i val="1"/>
      <sz val="10"/>
    </font>
    <font>
      <b val="1"/>
      <color rgb="00375623"/>
      <sz val="10"/>
    </font>
    <font>
      <b val="1"/>
      <color rgb="00974706"/>
      <sz val="10"/>
    </font>
    <font>
      <b val="1"/>
      <color rgb="009C0006"/>
      <sz val="10"/>
    </font>
    <font>
      <b val="1"/>
      <sz val="10"/>
    </font>
    <font>
      <b val="1"/>
      <color rgb="00385723"/>
      <sz val="10"/>
    </font>
    <font>
      <b val="1"/>
      <color rgb="00FFFFFF"/>
      <sz val="11"/>
    </font>
  </fonts>
  <fills count="19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C00000"/>
        <bgColor rgb="00C00000"/>
      </patternFill>
    </fill>
    <fill>
      <patternFill patternType="solid">
        <fgColor rgb="009C6500"/>
        <bgColor rgb="009C6500"/>
      </patternFill>
    </fill>
    <fill>
      <patternFill patternType="solid">
        <fgColor rgb="00375623"/>
        <bgColor rgb="00375623"/>
      </patternFill>
    </fill>
    <fill>
      <patternFill patternType="solid">
        <fgColor rgb="002F5597"/>
        <bgColor rgb="002F5597"/>
      </patternFill>
    </fill>
    <fill>
      <patternFill patternType="solid">
        <fgColor rgb="00833C00"/>
        <bgColor rgb="00833C00"/>
      </patternFill>
    </fill>
    <fill>
      <patternFill patternType="solid">
        <fgColor rgb="003E1153"/>
        <bgColor rgb="003E1153"/>
      </patternFill>
    </fill>
    <fill>
      <patternFill patternType="solid">
        <fgColor rgb="00843C0C"/>
        <bgColor rgb="00843C0C"/>
      </patternFill>
    </fill>
    <fill>
      <patternFill patternType="solid">
        <fgColor rgb="00843C78"/>
        <bgColor rgb="00843C78"/>
      </patternFill>
    </fill>
    <fill>
      <patternFill patternType="solid">
        <fgColor rgb="00006E6F"/>
        <bgColor rgb="00006E6F"/>
      </patternFill>
    </fill>
    <fill>
      <patternFill patternType="solid">
        <fgColor rgb="00404040"/>
        <bgColor rgb="00404040"/>
      </patternFill>
    </fill>
    <fill>
      <patternFill patternType="solid">
        <fgColor rgb="00006B8A"/>
        <bgColor rgb="00006B8A"/>
      </patternFill>
    </fill>
    <fill>
      <patternFill patternType="solid">
        <fgColor rgb="00F1F3F5"/>
        <bgColor rgb="00F1F3F5"/>
      </patternFill>
    </fill>
    <fill>
      <patternFill patternType="solid">
        <fgColor rgb="00F8D7DA"/>
        <bgColor rgb="00F8D7DA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top"/>
    </xf>
    <xf numFmtId="0" fontId="2" fillId="2" borderId="0" pivotButton="0" quotePrefix="0" xfId="0"/>
    <xf numFmtId="0" fontId="0" fillId="2" borderId="0" pivotButton="0" quotePrefix="0" xfId="0"/>
    <xf numFmtId="0" fontId="3" fillId="0" borderId="0" pivotButton="0" quotePrefix="0" xfId="0"/>
    <xf numFmtId="164" fontId="7" fillId="0" borderId="0" pivotButton="0" quotePrefix="0" xfId="0"/>
    <xf numFmtId="0" fontId="12" fillId="18" borderId="0" pivotButton="0" quotePrefix="0" xfId="0"/>
    <xf numFmtId="0" fontId="0" fillId="18" borderId="0" pivotButton="0" quotePrefix="0" xfId="0"/>
    <xf numFmtId="164" fontId="13" fillId="18" borderId="0" pivotButton="0" quotePrefix="0" xfId="0"/>
    <xf numFmtId="0" fontId="14" fillId="2" borderId="0" pivotButton="0" quotePrefix="0" xfId="0"/>
    <xf numFmtId="164" fontId="14" fillId="2" borderId="0" pivotButton="0" quotePrefix="0" xfId="0"/>
    <xf numFmtId="0" fontId="2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2" fillId="6" borderId="0" applyAlignment="1" pivotButton="0" quotePrefix="0" xfId="0">
      <alignment horizontal="center"/>
    </xf>
    <xf numFmtId="0" fontId="2" fillId="7" borderId="0" applyAlignment="1" pivotButton="0" quotePrefix="0" xfId="0">
      <alignment horizontal="center"/>
    </xf>
    <xf numFmtId="0" fontId="2" fillId="8" borderId="0" applyAlignment="1" pivotButton="0" quotePrefix="0" xfId="0">
      <alignment horizontal="center"/>
    </xf>
    <xf numFmtId="0" fontId="2" fillId="9" borderId="0" applyAlignment="1" pivotButton="0" quotePrefix="0" xfId="0">
      <alignment horizontal="center"/>
    </xf>
    <xf numFmtId="0" fontId="2" fillId="10" borderId="0" applyAlignment="1" pivotButton="0" quotePrefix="0" xfId="0">
      <alignment horizontal="center"/>
    </xf>
    <xf numFmtId="0" fontId="2" fillId="11" borderId="0" applyAlignment="1" pivotButton="0" quotePrefix="0" xfId="0">
      <alignment horizontal="center"/>
    </xf>
    <xf numFmtId="0" fontId="2" fillId="12" borderId="0" applyAlignment="1" pivotButton="0" quotePrefix="0" xfId="0">
      <alignment horizontal="center"/>
    </xf>
    <xf numFmtId="0" fontId="2" fillId="13" borderId="0" applyAlignment="1" pivotButton="0" quotePrefix="0" xfId="0">
      <alignment horizontal="center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4" fillId="14" borderId="0" pivotButton="0" quotePrefix="0" xfId="0"/>
    <xf numFmtId="0" fontId="4" fillId="14" borderId="0" applyAlignment="1" pivotButton="0" quotePrefix="0" xfId="0">
      <alignment vertical="top" wrapText="1"/>
    </xf>
    <xf numFmtId="0" fontId="0" fillId="14" borderId="0" pivotButton="0" quotePrefix="0" xfId="0"/>
    <xf numFmtId="0" fontId="6" fillId="15" borderId="0" applyAlignment="1" pivotButton="0" quotePrefix="0" xfId="0">
      <alignment horizontal="center" vertical="top"/>
    </xf>
    <xf numFmtId="164" fontId="0" fillId="0" borderId="0" pivotButton="0" quotePrefix="0" xfId="0"/>
    <xf numFmtId="0" fontId="5" fillId="0" borderId="0" pivotButton="0" quotePrefix="0" xfId="0"/>
    <xf numFmtId="0" fontId="8" fillId="0" borderId="0" applyAlignment="1" pivotButton="0" quotePrefix="0" xfId="0">
      <alignment vertical="top" wrapText="1"/>
    </xf>
    <xf numFmtId="0" fontId="9" fillId="0" borderId="0" pivotButton="0" quotePrefix="0" xfId="0"/>
    <xf numFmtId="0" fontId="9" fillId="16" borderId="0" applyAlignment="1" pivotButton="0" quotePrefix="0" xfId="0">
      <alignment horizontal="center" vertical="top"/>
    </xf>
    <xf numFmtId="0" fontId="6" fillId="17" borderId="0" applyAlignment="1" pivotButton="0" quotePrefix="0" xfId="0">
      <alignment horizontal="center" vertical="top"/>
    </xf>
    <xf numFmtId="0" fontId="10" fillId="0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styles" Target="styles.xml" Id="rId38" /><Relationship Type="http://schemas.openxmlformats.org/officeDocument/2006/relationships/theme" Target="theme/theme1.xml" Id="rId3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file:///C:/Users/Becket%20Nelson/OneDrive/Claude%20Code%20Stuff/ScriptBreakdown/chinatown-first-7.pdf" TargetMode="External" Id="rId1" /><Relationship Type="http://schemas.openxmlformats.org/officeDocument/2006/relationships/hyperlink" Target="file:///C:/Users/Becket%20Nelson/OneDrive/Claude%20Code%20Stuff/ScriptBreakdown/chinatown-first-7.pdf" TargetMode="External" Id="rId2" /><Relationship Type="http://schemas.openxmlformats.org/officeDocument/2006/relationships/hyperlink" Target="file:///C:/Users/Becket%20Nelson/OneDrive/Claude%20Code%20Stuff/ScriptBreakdown/chinatown-first-7.pdf" TargetMode="External" Id="rId3" /><Relationship Type="http://schemas.openxmlformats.org/officeDocument/2006/relationships/hyperlink" Target="file:///C:/Users/Becket%20Nelson/OneDrive/Claude%20Code%20Stuff/ScriptBreakdown/chinatown-first-7.pdf" TargetMode="External" Id="rId4" /><Relationship Type="http://schemas.openxmlformats.org/officeDocument/2006/relationships/hyperlink" Target="file:///C:/Users/Becket%20Nelson/OneDrive/Claude%20Code%20Stuff/ScriptBreakdown/chinatown-first-7.pdf" TargetMode="External" Id="rId5" /><Relationship Type="http://schemas.openxmlformats.org/officeDocument/2006/relationships/hyperlink" Target="file:///C:/Users/Becket%20Nelson/OneDrive/Claude%20Code%20Stuff/ScriptBreakdown/chinatown-first-7.pdf" TargetMode="External" Id="rId6" /><Relationship Type="http://schemas.openxmlformats.org/officeDocument/2006/relationships/hyperlink" Target="file:///C:/Users/Becket%20Nelson/OneDrive/Claude%20Code%20Stuff/ScriptBreakdown/chinatown-first-7.pdf" TargetMode="External" Id="rId7" /><Relationship Type="http://schemas.openxmlformats.org/officeDocument/2006/relationships/hyperlink" Target="file:///C:/Users/Becket%20Nelson/OneDrive/Claude%20Code%20Stuff/ScriptBreakdown/chinatown-first-7.pdf" TargetMode="External" Id="rId8" /></Relationships>
</file>

<file path=xl/worksheets/_rels/sheet7.xml.rels><Relationships xmlns="http://schemas.openxmlformats.org/package/2006/relationships"><Relationship Type="http://schemas.openxmlformats.org/officeDocument/2006/relationships/hyperlink" Target="file:///C:/Users/Becket%20Nelson/OneDrive/Claude%20Code%20Stuff/ScriptBreakdown/chinatown-first-7.pdf" TargetMode="External" Id="rId1" /><Relationship Type="http://schemas.openxmlformats.org/officeDocument/2006/relationships/hyperlink" Target="file:///C:/Users/Becket%20Nelson/OneDrive/Claude%20Code%20Stuff/ScriptBreakdown/chinatown-first-7.pdf" TargetMode="External" Id="rId2" /><Relationship Type="http://schemas.openxmlformats.org/officeDocument/2006/relationships/hyperlink" Target="file:///C:/Users/Becket%20Nelson/OneDrive/Claude%20Code%20Stuff/ScriptBreakdown/chinatown-first-7.pdf" TargetMode="External" Id="rId3" /><Relationship Type="http://schemas.openxmlformats.org/officeDocument/2006/relationships/hyperlink" Target="file:///C:/Users/Becket%20Nelson/OneDrive/Claude%20Code%20Stuff/ScriptBreakdown/chinatown-first-7.pdf" TargetMode="External" Id="rId4" /><Relationship Type="http://schemas.openxmlformats.org/officeDocument/2006/relationships/hyperlink" Target="file:///C:/Users/Becket%20Nelson/OneDrive/Claude%20Code%20Stuff/ScriptBreakdown/chinatown-first-7.pdf" TargetMode="External" Id="rId5" /><Relationship Type="http://schemas.openxmlformats.org/officeDocument/2006/relationships/hyperlink" Target="file:///C:/Users/Becket%20Nelson/OneDrive/Claude%20Code%20Stuff/ScriptBreakdown/chinatown-first-7.pdf" TargetMode="External" Id="rId6" /><Relationship Type="http://schemas.openxmlformats.org/officeDocument/2006/relationships/hyperlink" Target="file:///C:/Users/Becket%20Nelson/OneDrive/Claude%20Code%20Stuff/ScriptBreakdown/chinatown-first-7.pdf" TargetMode="External" Id="rId7" /></Relationships>
</file>

<file path=xl/worksheets/_rels/sheet9.xml.rels><Relationships xmlns="http://schemas.openxmlformats.org/package/2006/relationships"><Relationship Type="http://schemas.openxmlformats.org/officeDocument/2006/relationships/hyperlink" Target="file:///C:/Users/Becket%20Nelson/OneDrive/Claude%20Code%20Stuff/ScriptBreakdown/chinatown-first-7.pdf" TargetMode="External" Id="rId1" /><Relationship Type="http://schemas.openxmlformats.org/officeDocument/2006/relationships/hyperlink" Target="file:///C:/Users/Becket%20Nelson/OneDrive/Claude%20Code%20Stuff/ScriptBreakdown/chinatown-first-7.pdf" TargetMode="External" Id="rId2" /><Relationship Type="http://schemas.openxmlformats.org/officeDocument/2006/relationships/hyperlink" Target="file:///C:/Users/Becket%20Nelson/OneDrive/Claude%20Code%20Stuff/ScriptBreakdown/chinatown-first-7.pdf" TargetMode="External" Id="rId3" /><Relationship Type="http://schemas.openxmlformats.org/officeDocument/2006/relationships/hyperlink" Target="file:///C:/Users/Becket%20Nelson/OneDrive/Claude%20Code%20Stuff/ScriptBreakdown/chinatown-first-7.pdf" TargetMode="External" Id="rId4" /><Relationship Type="http://schemas.openxmlformats.org/officeDocument/2006/relationships/hyperlink" Target="file:///C:/Users/Becket%20Nelson/OneDrive/Claude%20Code%20Stuff/ScriptBreakdown/chinatown-first-7.pdf" TargetMode="External" Id="rId5" /></Relationships>
</file>

<file path=xl/worksheets/_rels/sheet10.xml.rels><Relationships xmlns="http://schemas.openxmlformats.org/package/2006/relationships"><Relationship Type="http://schemas.openxmlformats.org/officeDocument/2006/relationships/hyperlink" Target="file:///C:/Users/Becket%20Nelson/OneDrive/Claude%20Code%20Stuff/ScriptBreakdown/chinatown-first-7.pdf" TargetMode="External" Id="rId1" /><Relationship Type="http://schemas.openxmlformats.org/officeDocument/2006/relationships/hyperlink" Target="file:///C:/Users/Becket%20Nelson/OneDrive/Claude%20Code%20Stuff/ScriptBreakdown/chinatown-first-7.pdf" TargetMode="External" Id="rId2" /><Relationship Type="http://schemas.openxmlformats.org/officeDocument/2006/relationships/hyperlink" Target="file:///C:/Users/Becket%20Nelson/OneDrive/Claude%20Code%20Stuff/ScriptBreakdown/chinatown-first-7.pdf" TargetMode="External" Id="rId3" /></Relationships>
</file>

<file path=xl/worksheets/_rels/sheet11.xml.rels><Relationships xmlns="http://schemas.openxmlformats.org/package/2006/relationships"><Relationship Type="http://schemas.openxmlformats.org/officeDocument/2006/relationships/hyperlink" Target="file:///C:/Users/Becket%20Nelson/OneDrive/Claude%20Code%20Stuff/ScriptBreakdown/chinatown-first-7.pdf" TargetMode="External" Id="rId1" /><Relationship Type="http://schemas.openxmlformats.org/officeDocument/2006/relationships/hyperlink" Target="file:///C:/Users/Becket%20Nelson/OneDrive/Claude%20Code%20Stuff/ScriptBreakdown/chinatown-first-7.pdf" TargetMode="External" Id="rId2" /><Relationship Type="http://schemas.openxmlformats.org/officeDocument/2006/relationships/hyperlink" Target="file:///C:/Users/Becket%20Nelson/OneDrive/Claude%20Code%20Stuff/ScriptBreakdown/chinatown-first-7.pdf" TargetMode="External" Id="rId3" /><Relationship Type="http://schemas.openxmlformats.org/officeDocument/2006/relationships/hyperlink" Target="file:///C:/Users/Becket%20Nelson/OneDrive/Claude%20Code%20Stuff/ScriptBreakdown/chinatown-first-7.pdf" TargetMode="External" Id="rId4" /><Relationship Type="http://schemas.openxmlformats.org/officeDocument/2006/relationships/hyperlink" Target="file:///C:/Users/Becket%20Nelson/OneDrive/Claude%20Code%20Stuff/ScriptBreakdown/chinatown-first-7.pdf" TargetMode="External" Id="rId5" /></Relationships>
</file>

<file path=xl/worksheets/_rels/sheet12.xml.rels><Relationships xmlns="http://schemas.openxmlformats.org/package/2006/relationships"><Relationship Type="http://schemas.openxmlformats.org/officeDocument/2006/relationships/hyperlink" Target="file:///C:/Users/Becket%20Nelson/OneDrive/Claude%20Code%20Stuff/ScriptBreakdown/chinatown-first-7.pdf" TargetMode="External" Id="rId1" /><Relationship Type="http://schemas.openxmlformats.org/officeDocument/2006/relationships/hyperlink" Target="file:///C:/Users/Becket%20Nelson/OneDrive/Claude%20Code%20Stuff/ScriptBreakdown/chinatown-first-7.pdf" TargetMode="External" Id="rId2" /><Relationship Type="http://schemas.openxmlformats.org/officeDocument/2006/relationships/hyperlink" Target="file:///C:/Users/Becket%20Nelson/OneDrive/Claude%20Code%20Stuff/ScriptBreakdown/chinatown-first-7.pdf" TargetMode="External" Id="rId3" /><Relationship Type="http://schemas.openxmlformats.org/officeDocument/2006/relationships/hyperlink" Target="file:///C:/Users/Becket%20Nelson/OneDrive/Claude%20Code%20Stuff/ScriptBreakdown/chinatown-first-7.pdf" TargetMode="External" Id="rId4" /><Relationship Type="http://schemas.openxmlformats.org/officeDocument/2006/relationships/hyperlink" Target="file:///C:/Users/Becket%20Nelson/OneDrive/Claude%20Code%20Stuff/ScriptBreakdown/chinatown-first-7.pdf" TargetMode="External" Id="rId5" /><Relationship Type="http://schemas.openxmlformats.org/officeDocument/2006/relationships/hyperlink" Target="file:///C:/Users/Becket%20Nelson/OneDrive/Claude%20Code%20Stuff/ScriptBreakdown/chinatown-first-7.pdf" TargetMode="External" Id="rId6" /><Relationship Type="http://schemas.openxmlformats.org/officeDocument/2006/relationships/hyperlink" Target="file:///C:/Users/Becket%20Nelson/OneDrive/Claude%20Code%20Stuff/ScriptBreakdown/chinatown-first-7.pdf" TargetMode="External" Id="rId7" /><Relationship Type="http://schemas.openxmlformats.org/officeDocument/2006/relationships/hyperlink" Target="file:///C:/Users/Becket%20Nelson/OneDrive/Claude%20Code%20Stuff/ScriptBreakdown/chinatown-first-7.pdf" TargetMode="External" Id="rId8" /><Relationship Type="http://schemas.openxmlformats.org/officeDocument/2006/relationships/hyperlink" Target="file:///C:/Users/Becket%20Nelson/OneDrive/Claude%20Code%20Stuff/ScriptBreakdown/chinatown-first-7.pdf" TargetMode="External" Id="rId9" /><Relationship Type="http://schemas.openxmlformats.org/officeDocument/2006/relationships/hyperlink" Target="file:///C:/Users/Becket%20Nelson/OneDrive/Claude%20Code%20Stuff/ScriptBreakdown/chinatown-first-7.pdf" TargetMode="External" Id="rId10" /></Relationships>
</file>

<file path=xl/worksheets/_rels/sheet14.xml.rels><Relationships xmlns="http://schemas.openxmlformats.org/package/2006/relationships"><Relationship Type="http://schemas.openxmlformats.org/officeDocument/2006/relationships/hyperlink" Target="file:///C:/Users/Becket%20Nelson/OneDrive/Claude%20Code%20Stuff/ScriptBreakdown/chinatown-first-7.pdf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file:///C:/Users/Becket%20Nelson/OneDrive/Claude%20Code%20Stuff/ScriptBreakdown/chinatown-first-7.pdf" TargetMode="External" Id="rId1" /><Relationship Type="http://schemas.openxmlformats.org/officeDocument/2006/relationships/hyperlink" Target="file:///C:/Users/Becket%20Nelson/OneDrive/Claude%20Code%20Stuff/ScriptBreakdown/chinatown-first-7.pdf" TargetMode="External" Id="rId2" /><Relationship Type="http://schemas.openxmlformats.org/officeDocument/2006/relationships/hyperlink" Target="file:///C:/Users/Becket%20Nelson/OneDrive/Claude%20Code%20Stuff/ScriptBreakdown/chinatown-first-7.pdf" TargetMode="External" Id="rId3" /><Relationship Type="http://schemas.openxmlformats.org/officeDocument/2006/relationships/hyperlink" Target="file:///C:/Users/Becket%20Nelson/OneDrive/Claude%20Code%20Stuff/ScriptBreakdown/chinatown-first-7.pdf" TargetMode="External" Id="rId4" /><Relationship Type="http://schemas.openxmlformats.org/officeDocument/2006/relationships/hyperlink" Target="file:///C:/Users/Becket%20Nelson/OneDrive/Claude%20Code%20Stuff/ScriptBreakdown/chinatown-first-7.pdf" TargetMode="External" Id="rId5" /></Relationships>
</file>

<file path=xl/worksheets/_rels/sheet22.xml.rels><Relationships xmlns="http://schemas.openxmlformats.org/package/2006/relationships"><Relationship Type="http://schemas.openxmlformats.org/officeDocument/2006/relationships/hyperlink" Target="file:///C:/Users/Becket%20Nelson/OneDrive/Claude%20Code%20Stuff/ScriptBreakdown/chinatown-first-7.pdf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file:///C:/Users/Becket%20Nelson/OneDrive/Claude%20Code%20Stuff/ScriptBreakdown/chinatown-first-7.pdf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file:///C:/Users/Becket%20Nelson/OneDrive/Claude%20Code%20Stuff/ScriptBreakdown/chinatown-first-7.pdf" TargetMode="External" Id="rId1" /><Relationship Type="http://schemas.openxmlformats.org/officeDocument/2006/relationships/hyperlink" Target="file:///C:/Users/Becket%20Nelson/OneDrive/Claude%20Code%20Stuff/ScriptBreakdown/chinatown-first-7.pdf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52" customWidth="1" min="1" max="1"/>
    <col width="18" customWidth="1" min="2" max="2"/>
    <col width="16" customWidth="1" min="3" max="3"/>
  </cols>
  <sheetData>
    <row r="1">
      <c r="A1" s="1" t="inlineStr">
        <is>
          <t>PRODUCTION BUDGET — TOP SHEET</t>
        </is>
      </c>
    </row>
    <row r="2">
      <c r="A2" s="2" t="inlineStr">
        <is>
          <t>Category</t>
        </is>
      </c>
      <c r="B2" s="2" t="inlineStr">
        <is>
          <t>Account(s)</t>
        </is>
      </c>
      <c r="C2" s="2" t="inlineStr">
        <is>
          <t>Total</t>
        </is>
      </c>
    </row>
    <row r="3">
      <c r="A3" s="3" t="inlineStr">
        <is>
          <t>ABOVE THE LINE</t>
        </is>
      </c>
      <c r="B3" s="4" t="n"/>
      <c r="C3" s="4" t="n"/>
    </row>
    <row r="4">
      <c r="A4" s="5" t="inlineStr">
        <is>
          <t>1100-1200 – Development + Story &amp; Rights</t>
        </is>
      </c>
      <c r="C4" s="6">
        <f>SUM('1100 – Development'!H:H,'1200 – Story &amp; Rights'!H:H)</f>
        <v/>
      </c>
    </row>
    <row r="5">
      <c r="A5" s="5" t="inlineStr">
        <is>
          <t>1400 – Producers Unit</t>
        </is>
      </c>
      <c r="C5" s="6">
        <f>SUM('1400 – Producers Unit'!H:H)</f>
        <v/>
      </c>
    </row>
    <row r="6">
      <c r="A6" s="5" t="inlineStr">
        <is>
          <t>1500 – Directors Unit</t>
        </is>
      </c>
      <c r="C6" s="6">
        <f>SUM('1500 – Directors Unit'!H:H)</f>
        <v/>
      </c>
    </row>
    <row r="7">
      <c r="A7" s="5" t="inlineStr">
        <is>
          <t>1600 – Talent (Cast)</t>
        </is>
      </c>
      <c r="C7" s="6">
        <f>SUM('1600 – Talent (Cast)'!H:H)</f>
        <v/>
      </c>
    </row>
    <row r="8">
      <c r="A8" s="7" t="inlineStr">
        <is>
          <t>TOTAL ABOVE THE LINE</t>
        </is>
      </c>
      <c r="B8" s="8" t="n"/>
      <c r="C8" s="9">
        <f>SUM(C4:C7)</f>
        <v/>
      </c>
    </row>
    <row r="10">
      <c r="A10" s="3" t="inlineStr">
        <is>
          <t>BELOW THE LINE</t>
        </is>
      </c>
      <c r="B10" s="4" t="n"/>
      <c r="C10" s="4" t="n"/>
    </row>
    <row r="11">
      <c r="A11" s="5" t="inlineStr">
        <is>
          <t>2100 – Production Staff</t>
        </is>
      </c>
      <c r="C11" s="6">
        <f>SUM('2100 – Production Staff'!H:H)</f>
        <v/>
      </c>
    </row>
    <row r="12">
      <c r="A12" s="5" t="inlineStr">
        <is>
          <t>2200-2400 – Art Direction + Set Construction + Set Decoration</t>
        </is>
      </c>
      <c r="C12" s="6">
        <f>SUM('2200 – Art Direction'!H:H,'2300 – Set Construction'!H:H,'2400 – Set Decoration'!H:H)</f>
        <v/>
      </c>
    </row>
    <row r="13">
      <c r="A13" s="5" t="inlineStr">
        <is>
          <t>2500 – Props</t>
        </is>
      </c>
      <c r="C13" s="6">
        <f>SUM('2500 – Props'!H:H)</f>
        <v/>
      </c>
    </row>
    <row r="14">
      <c r="A14" s="5" t="inlineStr">
        <is>
          <t>2600 – Camera</t>
        </is>
      </c>
      <c r="C14" s="6">
        <f>SUM('2600 – Camera'!H:H)</f>
        <v/>
      </c>
    </row>
    <row r="15">
      <c r="A15" s="5" t="inlineStr">
        <is>
          <t>2700 – Electric</t>
        </is>
      </c>
      <c r="C15" s="6">
        <f>SUM('2700 – Electric'!H:H)</f>
        <v/>
      </c>
    </row>
    <row r="16">
      <c r="A16" s="5" t="inlineStr">
        <is>
          <t>2800 – Grip</t>
        </is>
      </c>
      <c r="C16" s="6">
        <f>SUM('2800 – Grip'!H:H)</f>
        <v/>
      </c>
    </row>
    <row r="17">
      <c r="A17" s="5" t="inlineStr">
        <is>
          <t>2900 – Production Sound</t>
        </is>
      </c>
      <c r="C17" s="6">
        <f>SUM('2900 – Production Sound'!H:H)</f>
        <v/>
      </c>
    </row>
    <row r="18">
      <c r="A18" s="5" t="inlineStr">
        <is>
          <t>2950 – Stunts &amp; Safety</t>
        </is>
      </c>
      <c r="C18" s="6">
        <f>SUM('2950 – Stunts &amp; Safety'!H:H)</f>
        <v/>
      </c>
    </row>
    <row r="19">
      <c r="A19" s="5" t="inlineStr">
        <is>
          <t>3000-3100 – Mechanical FX + Special VFX</t>
        </is>
      </c>
      <c r="C19" s="6">
        <f>SUM('3000 – Mechanical FX'!H:H,'3100 – Special VFX'!H:H)</f>
        <v/>
      </c>
    </row>
    <row r="20">
      <c r="A20" s="5" t="inlineStr">
        <is>
          <t>3200 – Set Operations</t>
        </is>
      </c>
      <c r="C20" s="6">
        <f>SUM('3200 – Set Operations'!H:H)</f>
        <v/>
      </c>
    </row>
    <row r="21">
      <c r="A21" s="5" t="inlineStr">
        <is>
          <t>3300 – Wardrobe</t>
        </is>
      </c>
      <c r="C21" s="6">
        <f>SUM('3300 – Wardrobe'!H:H)</f>
        <v/>
      </c>
    </row>
    <row r="22">
      <c r="A22" s="5" t="inlineStr">
        <is>
          <t>3400 – Makeup &amp; Hair</t>
        </is>
      </c>
      <c r="C22" s="6">
        <f>SUM('3400 – Makeup &amp; Hair'!H:H)</f>
        <v/>
      </c>
    </row>
    <row r="23">
      <c r="A23" s="5" t="inlineStr">
        <is>
          <t>3500 – Locations</t>
        </is>
      </c>
      <c r="C23" s="6">
        <f>SUM('3500 – Locations'!H:H)</f>
        <v/>
      </c>
    </row>
    <row r="24">
      <c r="A24" s="5" t="inlineStr">
        <is>
          <t>3600 – Transportation</t>
        </is>
      </c>
      <c r="C24" s="6">
        <f>SUM('3600 – Transportation'!H:H)</f>
        <v/>
      </c>
    </row>
    <row r="25">
      <c r="A25" s="5" t="inlineStr">
        <is>
          <t>3800-3900 – Studio Facilities + Atmosphere</t>
        </is>
      </c>
      <c r="C25" s="6">
        <f>SUM('3800 – Studio Facilities'!H:H,'3900 – Atmosphere'!H:H)</f>
        <v/>
      </c>
    </row>
    <row r="26">
      <c r="A26" s="7" t="inlineStr">
        <is>
          <t>TOTAL BELOW THE LINE</t>
        </is>
      </c>
      <c r="B26" s="8" t="n"/>
      <c r="C26" s="9">
        <f>SUM(C11:C25)</f>
        <v/>
      </c>
    </row>
    <row r="28">
      <c r="A28" s="3" t="inlineStr">
        <is>
          <t>POST PRODUCTION</t>
        </is>
      </c>
      <c r="B28" s="4" t="n"/>
      <c r="C28" s="4" t="n"/>
    </row>
    <row r="29">
      <c r="A29" s="5" t="inlineStr">
        <is>
          <t>5100-5700 – Post Production (Editing, Lab, Sound, Music, Titles, Opticals)</t>
        </is>
      </c>
      <c r="C29" s="6">
        <f>SUM('5100 – Editing'!H:H,'5200 – Post Film &amp; Lab'!H:H,'5300 – Post Sound'!H:H,'5400 – Music'!H:H,'5500 – Titles'!H:H,'5600 – Opticals &amp; Post VFX'!H:H,'5700 – Post Video'!H:H)</f>
        <v/>
      </c>
    </row>
    <row r="30">
      <c r="A30" s="7" t="inlineStr">
        <is>
          <t>TOTAL POST PRODUCTION</t>
        </is>
      </c>
      <c r="B30" s="8" t="n"/>
      <c r="C30" s="9">
        <f>SUM(C29)</f>
        <v/>
      </c>
    </row>
    <row r="32">
      <c r="A32" s="3" t="inlineStr">
        <is>
          <t>OTHER</t>
        </is>
      </c>
      <c r="B32" s="4" t="n"/>
      <c r="C32" s="4" t="n"/>
    </row>
    <row r="33">
      <c r="A33" s="5" t="inlineStr">
        <is>
          <t>6100 – Insurance</t>
        </is>
      </c>
      <c r="C33" s="6">
        <f>SUM('6100 – Insurance'!H:H)</f>
        <v/>
      </c>
    </row>
    <row r="34">
      <c r="A34" s="5" t="inlineStr">
        <is>
          <t>6200 – Legal</t>
        </is>
      </c>
      <c r="C34" s="6">
        <f>SUM('6200 – Legal'!H:H)</f>
        <v/>
      </c>
    </row>
    <row r="35">
      <c r="A35" s="5" t="inlineStr">
        <is>
          <t>6300 – Publicity</t>
        </is>
      </c>
      <c r="C35" s="6">
        <f>SUM('6300 – Publicity'!H:H)</f>
        <v/>
      </c>
    </row>
    <row r="36">
      <c r="A36" s="5" t="inlineStr">
        <is>
          <t>6400 – Contingency (10%)</t>
        </is>
      </c>
      <c r="C36" s="6">
        <f>(C8+C26+C30)*0.10</f>
        <v/>
      </c>
    </row>
    <row r="37">
      <c r="A37" s="10" t="inlineStr">
        <is>
          <t>GRAND TOTAL</t>
        </is>
      </c>
      <c r="B37" s="4" t="n"/>
      <c r="C37" s="11">
        <f>C8+C26+C30+C33+C34+C35+C36</f>
        <v/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8" customWidth="1" min="3" max="3"/>
    <col width="10" customWidth="1" min="4" max="4"/>
    <col width="10" customWidth="1" min="5" max="5"/>
    <col width="10" customWidth="1" min="6" max="6"/>
    <col width="22" customWidth="1" min="7" max="7"/>
    <col width="16" customWidth="1" min="8" max="8"/>
    <col width="22" customWidth="1" min="9" max="9"/>
    <col width="16" customWidth="1" min="10" max="10"/>
    <col width="18" customWidth="1" min="11" max="11"/>
    <col width="13" customWidth="1" min="12" max="12"/>
    <col width="20" customWidth="1" min="13" max="13"/>
    <col width="16" customWidth="1" min="14" max="14"/>
    <col width="16" customWidth="1" min="15" max="15"/>
    <col width="20" customWidth="1" min="16" max="16"/>
    <col width="18" customWidth="1" min="17" max="17"/>
    <col width="14" customWidth="1" min="18" max="18"/>
    <col width="12" customWidth="1" min="19" max="19"/>
    <col width="14" customWidth="1" min="20" max="20"/>
    <col width="30" customWidth="1" min="21" max="21"/>
    <col width="11" customWidth="1" min="22" max="22"/>
  </cols>
  <sheetData>
    <row r="1">
      <c r="A1" s="12" t="inlineStr">
        <is>
          <t>Scene #</t>
        </is>
      </c>
      <c r="B1" s="12" t="inlineStr">
        <is>
          <t>Scene Heading</t>
        </is>
      </c>
      <c r="C1" s="12" t="inlineStr">
        <is>
          <t>Int/Ext</t>
        </is>
      </c>
      <c r="D1" s="12" t="inlineStr">
        <is>
          <t>Day/Night</t>
        </is>
      </c>
      <c r="E1" s="12" t="inlineStr">
        <is>
          <t>Page Count</t>
        </is>
      </c>
      <c r="F1" s="12" t="inlineStr">
        <is>
          <t>Script Day</t>
        </is>
      </c>
      <c r="G1" s="13" t="inlineStr">
        <is>
          <t>Cast</t>
        </is>
      </c>
      <c r="H1" s="14" t="inlineStr">
        <is>
          <t>Extras / Background</t>
        </is>
      </c>
      <c r="I1" s="15" t="inlineStr">
        <is>
          <t>Props</t>
        </is>
      </c>
      <c r="J1" s="16" t="inlineStr">
        <is>
          <t>Practical FX</t>
        </is>
      </c>
      <c r="K1" s="17" t="inlineStr">
        <is>
          <t>Wardrobe</t>
        </is>
      </c>
      <c r="L1" s="18" t="inlineStr">
        <is>
          <t>Animals</t>
        </is>
      </c>
      <c r="M1" s="19" t="inlineStr">
        <is>
          <t>Vehicles / Picture Cars</t>
        </is>
      </c>
      <c r="N1" s="20" t="inlineStr">
        <is>
          <t>Special Makeup</t>
        </is>
      </c>
      <c r="O1" s="21" t="inlineStr">
        <is>
          <t>Special Camera</t>
        </is>
      </c>
      <c r="P1" s="22" t="inlineStr">
        <is>
          <t>Stunts</t>
        </is>
      </c>
      <c r="Q1" s="23" t="inlineStr">
        <is>
          <t>VFX</t>
        </is>
      </c>
      <c r="R1" s="12" t="inlineStr">
        <is>
          <t>Location Type</t>
        </is>
      </c>
      <c r="S1" s="12" t="inlineStr">
        <is>
          <t>Shooting Day</t>
        </is>
      </c>
      <c r="T1" s="12" t="inlineStr">
        <is>
          <t>Est. Shoot Hours</t>
        </is>
      </c>
      <c r="U1" s="12" t="inlineStr">
        <is>
          <t>Notes / Flags</t>
        </is>
      </c>
      <c r="V1" s="12" t="inlineStr">
        <is>
          <t>Script Page</t>
        </is>
      </c>
    </row>
    <row r="2" ht="45" customHeight="1">
      <c r="A2" s="24" t="inlineStr">
        <is>
          <t>1</t>
        </is>
      </c>
      <c r="B2" s="24" t="inlineStr">
        <is>
          <t>FULL SCREEN PHOTOGRAPH</t>
        </is>
      </c>
      <c r="C2" s="24" t="inlineStr">
        <is>
          <t>INT</t>
        </is>
      </c>
      <c r="D2" s="24" t="inlineStr">
        <is>
          <t>DAY</t>
        </is>
      </c>
      <c r="E2" s="24" t="inlineStr">
        <is>
          <t>1/8</t>
        </is>
      </c>
      <c r="F2" s="24" t="inlineStr">
        <is>
          <t>Day 1</t>
        </is>
      </c>
      <c r="G2" s="24" t="inlineStr">
        <is>
          <t>CURLY</t>
        </is>
      </c>
      <c r="H2" s="24" t="n"/>
      <c r="I2" s="24" t="inlineStr">
        <is>
          <t>Surveillance photographs — grainy intimate images of man and woman</t>
        </is>
      </c>
      <c r="J2" s="24" t="n"/>
      <c r="K2" s="24" t="inlineStr">
        <is>
          <t>Period 1930s. No cast on screen — photographs only.</t>
        </is>
      </c>
      <c r="L2" s="24" t="n"/>
      <c r="M2" s="24" t="n"/>
      <c r="N2" s="24" t="n"/>
      <c r="O2" s="24" t="n"/>
      <c r="P2" s="24" t="n"/>
      <c r="Q2" s="24" t="n"/>
      <c r="R2" s="24" t="inlineStr">
        <is>
          <t>Stage</t>
        </is>
      </c>
      <c r="S2" s="25" t="inlineStr">
        <is>
          <t>[SCHEDULE]</t>
        </is>
      </c>
      <c r="T2" s="25" t="inlineStr">
        <is>
          <t>[SCHEDULE]</t>
        </is>
      </c>
      <c r="U2" s="24" t="inlineStr">
        <is>
          <t>Period setting — all props must be era-appropriate</t>
        </is>
      </c>
      <c r="V2" s="26" t="n">
        <v>1</v>
      </c>
    </row>
    <row r="3" ht="45" customHeight="1">
      <c r="A3" s="24" t="inlineStr">
        <is>
          <t>2</t>
        </is>
      </c>
      <c r="B3" s="24" t="inlineStr">
        <is>
          <t>INT. GITTES' OFFICE</t>
        </is>
      </c>
      <c r="C3" s="24" t="inlineStr">
        <is>
          <t>INT</t>
        </is>
      </c>
      <c r="D3" s="24" t="inlineStr">
        <is>
          <t>DAY</t>
        </is>
      </c>
      <c r="E3" s="24" t="inlineStr">
        <is>
          <t>6/8</t>
        </is>
      </c>
      <c r="F3" s="24" t="inlineStr">
        <is>
          <t>Day 1</t>
        </is>
      </c>
      <c r="G3" s="24" t="inlineStr">
        <is>
          <t>GITTES
CURLY</t>
        </is>
      </c>
      <c r="H3" s="24" t="n"/>
      <c r="I3" s="24" t="inlineStr">
        <is>
          <t>Surveillance photographs — handled and dropped on desk by Curly
Desk — practical surface, shiny finish
Ceiling fan — practical overhead
Cigarette — lit and smoked by Gittes
Lighter with nail — hero prop used by Gittes to light cigarette
Wastebasket — kicked by Curly
Venetian blinds — bitten/damaged by Curly
Shot glass — handled and drained by Curly
Bourbon bottle (cheaper) — pulled from desk, poured by Gittes
Several whiskey bottles — visible on desk
Handkerchief — used by Gittes to wipe desk
Signed photos of movie stars — on wall, sent askew by Curly</t>
        </is>
      </c>
      <c r="J3" s="24" t="n"/>
      <c r="K3" s="24" t="inlineStr">
        <is>
          <t>Period 1930s. Gittes: white linen suit. Curly: workman's clothes, heavily sweat-stained.</t>
        </is>
      </c>
      <c r="L3" s="24" t="n"/>
      <c r="M3" s="24" t="n"/>
      <c r="N3" s="24" t="inlineStr">
        <is>
          <t>Curly — heavy sweating effect required, continuity across takes</t>
        </is>
      </c>
      <c r="O3" s="24" t="n"/>
      <c r="P3" s="24" t="inlineStr">
        <is>
          <t>Curly rams fist into wall — physical impact stunt, dent continuity required
Curly kicks wastebasket
Curly bites Venetian blinds</t>
        </is>
      </c>
      <c r="Q3" s="24" t="n"/>
      <c r="R3" s="24" t="inlineStr">
        <is>
          <t>Stage</t>
        </is>
      </c>
      <c r="S3" s="25" t="inlineStr">
        <is>
          <t>[SCHEDULE]</t>
        </is>
      </c>
      <c r="T3" s="25" t="inlineStr">
        <is>
          <t>[SCHEDULE]</t>
        </is>
      </c>
      <c r="U3" s="24" t="inlineStr">
        <is>
          <t>Curly physically strikes wall — stunt coordinator required
Breakaway/dentable wall section required for Curly fist impact
Weeping/crying scene — continuity makeup required for Curly
Period setting — all props, wardrobe, set dressing must be 1930s era
Glass shatters (heard from adjacent office) — practical SFX or Foley</t>
        </is>
      </c>
      <c r="V3" s="26" t="n">
        <v>2</v>
      </c>
    </row>
    <row r="4" ht="45" customHeight="1">
      <c r="A4" s="24" t="inlineStr">
        <is>
          <t>3</t>
        </is>
      </c>
      <c r="B4" s="24" t="inlineStr">
        <is>
          <t>INT. DUFFY &amp; WALSH'S OFFICE</t>
        </is>
      </c>
      <c r="C4" s="24" t="inlineStr">
        <is>
          <t>INT</t>
        </is>
      </c>
      <c r="D4" s="24" t="inlineStr">
        <is>
          <t>DAY</t>
        </is>
      </c>
      <c r="E4" s="24" t="inlineStr">
        <is>
          <t>1/8</t>
        </is>
      </c>
      <c r="F4" s="24" t="inlineStr">
        <is>
          <t>Day 1</t>
        </is>
      </c>
      <c r="G4" s="24" t="inlineStr">
        <is>
          <t>WALSH
MRS. MULWRAY (imposter)</t>
        </is>
      </c>
      <c r="H4" s="24" t="n"/>
      <c r="I4" s="24" t="inlineStr">
        <is>
          <t>Pillbox hat with veil — worn and fiddled with by Woman</t>
        </is>
      </c>
      <c r="J4" s="24" t="n"/>
      <c r="K4" s="24" t="inlineStr">
        <is>
          <t>Period 1930s. Woman: well-groomed, pillbox hat with veil.</t>
        </is>
      </c>
      <c r="L4" s="24" t="n"/>
      <c r="M4" s="24" t="n"/>
      <c r="N4" s="24" t="n"/>
      <c r="O4" s="24" t="n"/>
      <c r="P4" s="24" t="n"/>
      <c r="Q4" s="24" t="n"/>
      <c r="R4" s="24" t="inlineStr">
        <is>
          <t>Stage</t>
        </is>
      </c>
      <c r="S4" s="25" t="inlineStr">
        <is>
          <t>[SCHEDULE]</t>
        </is>
      </c>
      <c r="T4" s="25" t="inlineStr">
        <is>
          <t>[SCHEDULE]</t>
        </is>
      </c>
      <c r="U4" s="24" t="inlineStr">
        <is>
          <t>Period setting — wardrobe and set dressing must be 1930s era</t>
        </is>
      </c>
      <c r="V4" s="26" t="n">
        <v>3</v>
      </c>
    </row>
    <row r="5" ht="45" customHeight="1">
      <c r="A5" s="24" t="inlineStr">
        <is>
          <t>4</t>
        </is>
      </c>
      <c r="B5" s="24" t="inlineStr">
        <is>
          <t>INT. GITTES' OFFICE – GITTES &amp; CURLY</t>
        </is>
      </c>
      <c r="C5" s="24" t="inlineStr">
        <is>
          <t>INT</t>
        </is>
      </c>
      <c r="D5" s="24" t="inlineStr">
        <is>
          <t>DAY</t>
        </is>
      </c>
      <c r="E5" s="24" t="inlineStr">
        <is>
          <t>2/8</t>
        </is>
      </c>
      <c r="F5" s="24" t="inlineStr">
        <is>
          <t>Day 1</t>
        </is>
      </c>
      <c r="G5" s="24" t="inlineStr">
        <is>
          <t>GITTES
CURLY</t>
        </is>
      </c>
      <c r="H5" s="24" t="n"/>
      <c r="I5" s="24" t="inlineStr">
        <is>
          <t>Handkerchief — used by Gittes
Surveillance photographs — pounded on desk by Gittes</t>
        </is>
      </c>
      <c r="J5" s="24" t="n"/>
      <c r="K5" s="24" t="inlineStr">
        <is>
          <t>Period 1930s. Continuity from Scene 2.</t>
        </is>
      </c>
      <c r="L5" s="24" t="n"/>
      <c r="M5" s="24" t="n"/>
      <c r="N5" s="24" t="inlineStr">
        <is>
          <t>Curly — continued weeping/crying continuity makeup</t>
        </is>
      </c>
      <c r="O5" s="24" t="n"/>
      <c r="P5" s="24" t="n"/>
      <c r="Q5" s="24" t="n"/>
      <c r="R5" s="24" t="inlineStr">
        <is>
          <t>Stage</t>
        </is>
      </c>
      <c r="S5" s="25" t="inlineStr">
        <is>
          <t>[SCHEDULE]</t>
        </is>
      </c>
      <c r="T5" s="25" t="inlineStr">
        <is>
          <t>[SCHEDULE]</t>
        </is>
      </c>
      <c r="U5" s="24" t="inlineStr">
        <is>
          <t>Curly weeping — continuity makeup required
Period setting</t>
        </is>
      </c>
      <c r="V5" s="26" t="n">
        <v>3</v>
      </c>
    </row>
    <row r="6" ht="45" customHeight="1">
      <c r="A6" s="24" t="inlineStr">
        <is>
          <t>5</t>
        </is>
      </c>
      <c r="B6" s="24" t="inlineStr">
        <is>
          <t>INT. OFFICE RECEPTION</t>
        </is>
      </c>
      <c r="C6" s="24" t="inlineStr">
        <is>
          <t>INT</t>
        </is>
      </c>
      <c r="D6" s="24" t="inlineStr">
        <is>
          <t>DAY</t>
        </is>
      </c>
      <c r="E6" s="24" t="inlineStr">
        <is>
          <t>2/8</t>
        </is>
      </c>
      <c r="F6" s="24" t="inlineStr">
        <is>
          <t>Day 1</t>
        </is>
      </c>
      <c r="G6" s="24" t="inlineStr">
        <is>
          <t>GITTES
CURLY
SOPHIE</t>
        </is>
      </c>
      <c r="H6" s="24" t="n"/>
      <c r="I6" s="24" t="inlineStr">
        <is>
          <t>Office door with pebbled glass — lettered 'J. J. GITTES and Associates. DISCREET INVESTIGATION'</t>
        </is>
      </c>
      <c r="J6" s="24" t="n"/>
      <c r="K6" s="24" t="inlineStr">
        <is>
          <t>Period 1930s. Continuity.</t>
        </is>
      </c>
      <c r="L6" s="24" t="n"/>
      <c r="M6" s="24" t="n"/>
      <c r="N6" s="24" t="n"/>
      <c r="O6" s="24" t="n"/>
      <c r="P6" s="24" t="n"/>
      <c r="Q6" s="24" t="n"/>
      <c r="R6" s="24" t="inlineStr">
        <is>
          <t>Stage</t>
        </is>
      </c>
      <c r="S6" s="25" t="inlineStr">
        <is>
          <t>[SCHEDULE]</t>
        </is>
      </c>
      <c r="T6" s="25" t="inlineStr">
        <is>
          <t>[SCHEDULE]</t>
        </is>
      </c>
      <c r="U6" s="24" t="inlineStr">
        <is>
          <t>Period signage on pebbled glass door — Art Dept lettering required
Period setting</t>
        </is>
      </c>
      <c r="V6" s="26" t="n">
        <v>4</v>
      </c>
    </row>
    <row r="7" ht="45" customHeight="1">
      <c r="A7" s="24" t="inlineStr">
        <is>
          <t>6</t>
        </is>
      </c>
      <c r="B7" s="24" t="inlineStr">
        <is>
          <t>INT. DUFFY AND WALSH'S OFFICE</t>
        </is>
      </c>
      <c r="C7" s="24" t="inlineStr">
        <is>
          <t>INT</t>
        </is>
      </c>
      <c r="D7" s="24" t="inlineStr">
        <is>
          <t>DAY</t>
        </is>
      </c>
      <c r="E7" s="24" t="inlineStr">
        <is>
          <t>3/8</t>
        </is>
      </c>
      <c r="F7" s="24" t="inlineStr">
        <is>
          <t>Day 1</t>
        </is>
      </c>
      <c r="G7" s="24" t="inlineStr">
        <is>
          <t>GITTES
WALSH
DUFFY
MRS. MULWRAY (imposter)</t>
        </is>
      </c>
      <c r="H7" s="24" t="n"/>
      <c r="I7" s="24" t="inlineStr">
        <is>
          <t>Pillbox hat with veil — worn by Woman
Chewing gum — chewed by Duffy</t>
        </is>
      </c>
      <c r="J7" s="24" t="n"/>
      <c r="K7" s="24" t="inlineStr">
        <is>
          <t>Period 1930s. Mrs. Mulwray: well-groomed dress, handbag, shoes detailed by Gittes.</t>
        </is>
      </c>
      <c r="L7" s="24" t="n"/>
      <c r="M7" s="24" t="n"/>
      <c r="N7" s="24" t="n"/>
      <c r="O7" s="24" t="n"/>
      <c r="P7" s="24" t="n"/>
      <c r="Q7" s="24" t="n"/>
      <c r="R7" s="24" t="inlineStr">
        <is>
          <t>Stage</t>
        </is>
      </c>
      <c r="S7" s="25" t="inlineStr">
        <is>
          <t>[SCHEDULE]</t>
        </is>
      </c>
      <c r="T7" s="25" t="inlineStr">
        <is>
          <t>[SCHEDULE]</t>
        </is>
      </c>
      <c r="U7" s="24" t="inlineStr">
        <is>
          <t>Period setting — wardrobe detailing noted in script (dress, handbag, shoes)</t>
        </is>
      </c>
      <c r="V7" s="26" t="n">
        <v>5</v>
      </c>
    </row>
    <row r="8" ht="45" customHeight="1">
      <c r="A8" s="24" t="inlineStr">
        <is>
          <t>7</t>
        </is>
      </c>
      <c r="B8" s="24" t="inlineStr">
        <is>
          <t>EXT. CITY HALL – MORNING</t>
        </is>
      </c>
      <c r="C8" s="24" t="inlineStr">
        <is>
          <t>EXT</t>
        </is>
      </c>
      <c r="D8" s="24" t="inlineStr">
        <is>
          <t>DAY</t>
        </is>
      </c>
      <c r="E8" s="24" t="inlineStr">
        <is>
          <t>1/8</t>
        </is>
      </c>
      <c r="F8" s="24" t="inlineStr">
        <is>
          <t>Day 1</t>
        </is>
      </c>
      <c r="G8" s="24" t="inlineStr">
        <is>
          <t>GITTES</t>
        </is>
      </c>
      <c r="H8" s="24" t="inlineStr">
        <is>
          <t>1 — A drunk at the fountain at the foot of the City Hall steps.</t>
        </is>
      </c>
      <c r="I8" s="24" t="n"/>
      <c r="J8" s="24" t="n"/>
      <c r="K8" s="24" t="inlineStr">
        <is>
          <t>Period 1930s. Gittes: impeccably dressed. Drunk: period wardrobe.</t>
        </is>
      </c>
      <c r="L8" s="24" t="n"/>
      <c r="M8" s="24" t="n"/>
      <c r="N8" s="24" t="n"/>
      <c r="O8" s="24" t="n"/>
      <c r="P8" s="24" t="n"/>
      <c r="Q8" s="24" t="n"/>
      <c r="R8" s="24" t="inlineStr">
        <is>
          <t>Practical</t>
        </is>
      </c>
      <c r="S8" s="25" t="inlineStr">
        <is>
          <t>[SCHEDULE]</t>
        </is>
      </c>
      <c r="T8" s="25" t="inlineStr">
        <is>
          <t>[SCHEDULE]</t>
        </is>
      </c>
      <c r="U8" s="24" t="inlineStr">
        <is>
          <t>EXT public space — location permit required
Period setting — all wardrobe and dressing era-appropriate
Practical fountain required on location</t>
        </is>
      </c>
      <c r="V8" s="26" t="n">
        <v>7</v>
      </c>
    </row>
    <row r="9" ht="45" customHeight="1">
      <c r="A9" s="24" t="inlineStr">
        <is>
          <t>8</t>
        </is>
      </c>
      <c r="B9" s="24" t="inlineStr">
        <is>
          <t>INT. COUNCIL CHAMBERS</t>
        </is>
      </c>
      <c r="C9" s="24" t="inlineStr">
        <is>
          <t>INT</t>
        </is>
      </c>
      <c r="D9" s="24" t="inlineStr">
        <is>
          <t>DAY</t>
        </is>
      </c>
      <c r="E9" s="24" t="inlineStr">
        <is>
          <t>2/8</t>
        </is>
      </c>
      <c r="F9" s="24" t="inlineStr">
        <is>
          <t>Day 1</t>
        </is>
      </c>
      <c r="G9" s="24" t="inlineStr">
        <is>
          <t>GITTES
SAM BAGBY</t>
        </is>
      </c>
      <c r="H9" s="24" t="inlineStr">
        <is>
          <t>10 — Councilmen seated in chambers, reading newspapers/gossip columns during Bagby's speech.</t>
        </is>
      </c>
      <c r="I9" s="24" t="inlineStr">
        <is>
          <t>Large map with overleafs — 'PROPOSED ALTO VALLEJO DAM AND RESERVOIR' bold lettering, hero display piece
Newspapers / funny papers — handled and read by councilmen background
Gossip columns / newspapers — handled by councilmen background</t>
        </is>
      </c>
      <c r="J9" s="24" t="n"/>
      <c r="K9" s="24" t="inlineStr">
        <is>
          <t>Period 1930s. Bagby and councilmen in period suits. Gittes: period suit continuity.</t>
        </is>
      </c>
      <c r="L9" s="24" t="n"/>
      <c r="M9" s="24" t="n"/>
      <c r="N9" s="24" t="n"/>
      <c r="O9" s="24" t="n"/>
      <c r="P9" s="24" t="n"/>
      <c r="Q9" s="24" t="n"/>
      <c r="R9" s="24" t="inlineStr">
        <is>
          <t>Practical</t>
        </is>
      </c>
      <c r="S9" s="25" t="inlineStr">
        <is>
          <t>[SCHEDULE]</t>
        </is>
      </c>
      <c r="T9" s="25" t="inlineStr">
        <is>
          <t>[SCHEDULE]</t>
        </is>
      </c>
      <c r="U9" s="24" t="inlineStr">
        <is>
          <t>Period setting — all wardrobe, props, set dressing 1930s era
Hero map prop requires Art Dept construction/graphic design
Background extras (councilmen) required — approx 10</t>
        </is>
      </c>
      <c r="V9" s="26" t="n">
        <v>7</v>
      </c>
    </row>
  </sheetData>
  <hyperlinks>
    <hyperlink xmlns:r="http://schemas.openxmlformats.org/officeDocument/2006/relationships" ref="V2" r:id="rId1"/>
    <hyperlink xmlns:r="http://schemas.openxmlformats.org/officeDocument/2006/relationships" ref="V3" r:id="rId2"/>
    <hyperlink xmlns:r="http://schemas.openxmlformats.org/officeDocument/2006/relationships" ref="V4" r:id="rId3"/>
    <hyperlink xmlns:r="http://schemas.openxmlformats.org/officeDocument/2006/relationships" ref="V5" r:id="rId4"/>
    <hyperlink xmlns:r="http://schemas.openxmlformats.org/officeDocument/2006/relationships" ref="V6" r:id="rId5"/>
    <hyperlink xmlns:r="http://schemas.openxmlformats.org/officeDocument/2006/relationships" ref="V7" r:id="rId6"/>
    <hyperlink xmlns:r="http://schemas.openxmlformats.org/officeDocument/2006/relationships" ref="V8" r:id="rId7"/>
    <hyperlink xmlns:r="http://schemas.openxmlformats.org/officeDocument/2006/relationships" ref="V9" r:id="rId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0" customWidth="1" min="3" max="3"/>
    <col width="14" customWidth="1" min="4" max="4"/>
    <col width="12" customWidth="1" min="5" max="5"/>
    <col width="12" customWidth="1" min="6" max="6"/>
    <col width="10" customWidth="1" min="7" max="7"/>
    <col width="12" customWidth="1" min="8" max="8"/>
    <col width="20" customWidth="1" min="9" max="9"/>
    <col width="28" customWidth="1" min="10" max="10"/>
    <col width="11" customWidth="1" min="11" max="11"/>
    <col width="35" customWidth="1" min="12" max="12"/>
    <col width="35" customWidth="1" min="13" max="13"/>
    <col width="12" customWidth="1" min="14" max="14"/>
    <col width="14" customWidth="1" min="15" max="15"/>
  </cols>
  <sheetData>
    <row r="1">
      <c r="A1" s="2" t="inlineStr">
        <is>
          <t>Account No</t>
        </is>
      </c>
      <c r="B1" s="2" t="inlineStr">
        <is>
          <t>Description</t>
        </is>
      </c>
      <c r="C1" s="2" t="inlineStr">
        <is>
          <t>Amount</t>
        </is>
      </c>
      <c r="D1" s="2" t="inlineStr">
        <is>
          <t>Unit Type</t>
        </is>
      </c>
      <c r="E1" s="2" t="inlineStr">
        <is>
          <t>Rate</t>
        </is>
      </c>
      <c r="F1" s="2" t="inlineStr">
        <is>
          <t>Subtotal</t>
        </is>
      </c>
      <c r="G1" s="2" t="inlineStr">
        <is>
          <t>Fringe %</t>
        </is>
      </c>
      <c r="H1" s="2" t="inlineStr">
        <is>
          <t>Total</t>
        </is>
      </c>
      <c r="I1" s="2" t="inlineStr">
        <is>
          <t>Vendor</t>
        </is>
      </c>
      <c r="J1" s="2" t="inlineStr">
        <is>
          <t>Vendor URL</t>
        </is>
      </c>
      <c r="K1" s="2" t="inlineStr">
        <is>
          <t>Script Page</t>
        </is>
      </c>
      <c r="L1" s="2" t="inlineStr">
        <is>
          <t>Script Quote</t>
        </is>
      </c>
      <c r="M1" s="2" t="inlineStr">
        <is>
          <t>Notes</t>
        </is>
      </c>
      <c r="N1" s="2" t="inlineStr">
        <is>
          <t>Confidence</t>
        </is>
      </c>
      <c r="O1" s="2" t="inlineStr">
        <is>
          <t>Populated By</t>
        </is>
      </c>
    </row>
    <row r="2">
      <c r="A2" s="27" t="inlineStr">
        <is>
          <t>1100.01</t>
        </is>
      </c>
      <c r="B2" s="28" t="inlineStr">
        <is>
          <t>Story option / rights acquisition</t>
        </is>
      </c>
      <c r="C2" s="27" t="inlineStr">
        <is>
          <t>[DEAL]</t>
        </is>
      </c>
      <c r="D2" s="29" t="n"/>
      <c r="E2" s="29" t="n"/>
      <c r="F2" s="29" t="n"/>
      <c r="G2" s="29" t="n"/>
      <c r="H2" s="29" t="n"/>
      <c r="I2" s="29" t="n"/>
      <c r="J2" s="29" t="n"/>
      <c r="K2" s="29" t="n"/>
      <c r="L2" s="29" t="n"/>
      <c r="M2" s="29" t="n"/>
      <c r="N2" s="29" t="n"/>
      <c r="O2" s="30" t="inlineStr">
        <is>
          <t>DEAL</t>
        </is>
      </c>
    </row>
    <row r="3">
      <c r="A3" s="27" t="inlineStr">
        <is>
          <t>1100.02</t>
        </is>
      </c>
      <c r="B3" s="28" t="inlineStr">
        <is>
          <t>Screenplay development fee</t>
        </is>
      </c>
      <c r="C3" s="27" t="inlineStr">
        <is>
          <t>[DEAL]</t>
        </is>
      </c>
      <c r="D3" s="29" t="n"/>
      <c r="E3" s="29" t="n"/>
      <c r="F3" s="29" t="n"/>
      <c r="G3" s="29" t="n"/>
      <c r="H3" s="29" t="n"/>
      <c r="I3" s="29" t="n"/>
      <c r="J3" s="29" t="n"/>
      <c r="K3" s="29" t="n"/>
      <c r="L3" s="29" t="n"/>
      <c r="M3" s="29" t="n"/>
      <c r="N3" s="29" t="n"/>
      <c r="O3" s="30" t="inlineStr">
        <is>
          <t>DEAL</t>
        </is>
      </c>
    </row>
    <row r="4">
      <c r="A4" s="27" t="inlineStr">
        <is>
          <t>1100.03</t>
        </is>
      </c>
      <c r="B4" s="28" t="inlineStr">
        <is>
          <t>Development legal</t>
        </is>
      </c>
      <c r="C4" s="27" t="inlineStr">
        <is>
          <t>[DEAL]</t>
        </is>
      </c>
      <c r="D4" s="29" t="n"/>
      <c r="E4" s="29" t="n"/>
      <c r="F4" s="29" t="n"/>
      <c r="G4" s="29" t="n"/>
      <c r="H4" s="29" t="n"/>
      <c r="I4" s="29" t="n"/>
      <c r="J4" s="29" t="n"/>
      <c r="K4" s="29" t="n"/>
      <c r="L4" s="29" t="n"/>
      <c r="M4" s="29" t="n"/>
      <c r="N4" s="29" t="n"/>
      <c r="O4" s="30" t="inlineStr">
        <is>
          <t>DEAL</t>
        </is>
      </c>
    </row>
    <row r="5">
      <c r="A5" s="27" t="inlineStr">
        <is>
          <t>1100.04</t>
        </is>
      </c>
      <c r="B5" s="28" t="inlineStr">
        <is>
          <t>Development overhead</t>
        </is>
      </c>
      <c r="C5" s="27" t="inlineStr">
        <is>
          <t>[DEAL]</t>
        </is>
      </c>
      <c r="D5" s="29" t="n"/>
      <c r="E5" s="29" t="n"/>
      <c r="F5" s="29" t="n"/>
      <c r="G5" s="29" t="n"/>
      <c r="H5" s="29" t="n"/>
      <c r="I5" s="29" t="n"/>
      <c r="J5" s="29" t="n"/>
      <c r="K5" s="29" t="n"/>
      <c r="L5" s="29" t="n"/>
      <c r="M5" s="29" t="n"/>
      <c r="N5" s="29" t="n"/>
      <c r="O5" s="30" t="inlineStr">
        <is>
          <t>DEAL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0" customWidth="1" min="3" max="3"/>
    <col width="14" customWidth="1" min="4" max="4"/>
    <col width="12" customWidth="1" min="5" max="5"/>
    <col width="12" customWidth="1" min="6" max="6"/>
    <col width="10" customWidth="1" min="7" max="7"/>
    <col width="12" customWidth="1" min="8" max="8"/>
    <col width="20" customWidth="1" min="9" max="9"/>
    <col width="28" customWidth="1" min="10" max="10"/>
    <col width="11" customWidth="1" min="11" max="11"/>
    <col width="35" customWidth="1" min="12" max="12"/>
    <col width="35" customWidth="1" min="13" max="13"/>
    <col width="12" customWidth="1" min="14" max="14"/>
    <col width="14" customWidth="1" min="15" max="15"/>
  </cols>
  <sheetData>
    <row r="1">
      <c r="A1" s="2" t="inlineStr">
        <is>
          <t>Account No</t>
        </is>
      </c>
      <c r="B1" s="2" t="inlineStr">
        <is>
          <t>Description</t>
        </is>
      </c>
      <c r="C1" s="2" t="inlineStr">
        <is>
          <t>Amount</t>
        </is>
      </c>
      <c r="D1" s="2" t="inlineStr">
        <is>
          <t>Unit Type</t>
        </is>
      </c>
      <c r="E1" s="2" t="inlineStr">
        <is>
          <t>Rate</t>
        </is>
      </c>
      <c r="F1" s="2" t="inlineStr">
        <is>
          <t>Subtotal</t>
        </is>
      </c>
      <c r="G1" s="2" t="inlineStr">
        <is>
          <t>Fringe %</t>
        </is>
      </c>
      <c r="H1" s="2" t="inlineStr">
        <is>
          <t>Total</t>
        </is>
      </c>
      <c r="I1" s="2" t="inlineStr">
        <is>
          <t>Vendor</t>
        </is>
      </c>
      <c r="J1" s="2" t="inlineStr">
        <is>
          <t>Vendor URL</t>
        </is>
      </c>
      <c r="K1" s="2" t="inlineStr">
        <is>
          <t>Script Page</t>
        </is>
      </c>
      <c r="L1" s="2" t="inlineStr">
        <is>
          <t>Script Quote</t>
        </is>
      </c>
      <c r="M1" s="2" t="inlineStr">
        <is>
          <t>Notes</t>
        </is>
      </c>
      <c r="N1" s="2" t="inlineStr">
        <is>
          <t>Confidence</t>
        </is>
      </c>
      <c r="O1" s="2" t="inlineStr">
        <is>
          <t>Populated By</t>
        </is>
      </c>
    </row>
    <row r="2">
      <c r="A2" s="27" t="inlineStr">
        <is>
          <t>1200.01</t>
        </is>
      </c>
      <c r="B2" s="28" t="inlineStr">
        <is>
          <t>Story rights purchase</t>
        </is>
      </c>
      <c r="C2" s="27" t="inlineStr">
        <is>
          <t>[DEAL]</t>
        </is>
      </c>
      <c r="D2" s="29" t="n"/>
      <c r="E2" s="29" t="n"/>
      <c r="F2" s="29" t="n"/>
      <c r="G2" s="29" t="n"/>
      <c r="H2" s="29" t="n"/>
      <c r="I2" s="29" t="n"/>
      <c r="J2" s="29" t="n"/>
      <c r="K2" s="29" t="n"/>
      <c r="L2" s="29" t="n"/>
      <c r="M2" s="29" t="n"/>
      <c r="N2" s="29" t="n"/>
      <c r="O2" s="30" t="inlineStr">
        <is>
          <t>DEAL</t>
        </is>
      </c>
    </row>
    <row r="3">
      <c r="A3" s="27" t="inlineStr">
        <is>
          <t>1200.02</t>
        </is>
      </c>
      <c r="B3" s="28" t="inlineStr">
        <is>
          <t>Writer fee</t>
        </is>
      </c>
      <c r="C3" s="27" t="inlineStr">
        <is>
          <t>[DEAL]</t>
        </is>
      </c>
      <c r="D3" s="29" t="n"/>
      <c r="E3" s="29" t="n"/>
      <c r="F3" s="29" t="n"/>
      <c r="G3" s="29" t="n"/>
      <c r="H3" s="29" t="n"/>
      <c r="I3" s="29" t="n"/>
      <c r="J3" s="29" t="n"/>
      <c r="K3" s="29" t="n"/>
      <c r="L3" s="29" t="n"/>
      <c r="M3" s="29" t="n"/>
      <c r="N3" s="29" t="n"/>
      <c r="O3" s="30" t="inlineStr">
        <is>
          <t>DEAL</t>
        </is>
      </c>
    </row>
    <row r="4">
      <c r="A4" s="27" t="inlineStr">
        <is>
          <t>1200.03</t>
        </is>
      </c>
      <c r="B4" s="28" t="inlineStr">
        <is>
          <t>Continuity / breakdown</t>
        </is>
      </c>
      <c r="C4" s="27" t="inlineStr">
        <is>
          <t>[DEAL]</t>
        </is>
      </c>
      <c r="D4" s="29" t="n"/>
      <c r="E4" s="29" t="n"/>
      <c r="F4" s="29" t="n"/>
      <c r="G4" s="29" t="n"/>
      <c r="H4" s="29" t="n"/>
      <c r="I4" s="29" t="n"/>
      <c r="J4" s="29" t="n"/>
      <c r="K4" s="29" t="n"/>
      <c r="L4" s="29" t="n"/>
      <c r="M4" s="29" t="n"/>
      <c r="N4" s="29" t="n"/>
      <c r="O4" s="30" t="inlineStr">
        <is>
          <t>DEAL</t>
        </is>
      </c>
    </row>
    <row r="5">
      <c r="A5" s="27" t="inlineStr">
        <is>
          <t>1200.04</t>
        </is>
      </c>
      <c r="B5" s="28" t="inlineStr">
        <is>
          <t>Script duplication</t>
        </is>
      </c>
      <c r="C5" s="27" t="inlineStr">
        <is>
          <t>[DEAL]</t>
        </is>
      </c>
      <c r="D5" s="29" t="n"/>
      <c r="E5" s="29" t="n"/>
      <c r="F5" s="29" t="n"/>
      <c r="G5" s="29" t="n"/>
      <c r="H5" s="29" t="n"/>
      <c r="I5" s="29" t="n"/>
      <c r="J5" s="29" t="n"/>
      <c r="K5" s="29" t="n"/>
      <c r="L5" s="29" t="n"/>
      <c r="M5" s="29" t="n"/>
      <c r="N5" s="29" t="n"/>
      <c r="O5" s="30" t="inlineStr">
        <is>
          <t>DEAL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0" customWidth="1" min="3" max="3"/>
    <col width="14" customWidth="1" min="4" max="4"/>
    <col width="12" customWidth="1" min="5" max="5"/>
    <col width="12" customWidth="1" min="6" max="6"/>
    <col width="10" customWidth="1" min="7" max="7"/>
    <col width="12" customWidth="1" min="8" max="8"/>
    <col width="20" customWidth="1" min="9" max="9"/>
    <col width="28" customWidth="1" min="10" max="10"/>
    <col width="11" customWidth="1" min="11" max="11"/>
    <col width="35" customWidth="1" min="12" max="12"/>
    <col width="35" customWidth="1" min="13" max="13"/>
    <col width="12" customWidth="1" min="14" max="14"/>
    <col width="14" customWidth="1" min="15" max="15"/>
  </cols>
  <sheetData>
    <row r="1">
      <c r="A1" s="2" t="inlineStr">
        <is>
          <t>Account No</t>
        </is>
      </c>
      <c r="B1" s="2" t="inlineStr">
        <is>
          <t>Description</t>
        </is>
      </c>
      <c r="C1" s="2" t="inlineStr">
        <is>
          <t>Amount</t>
        </is>
      </c>
      <c r="D1" s="2" t="inlineStr">
        <is>
          <t>Unit Type</t>
        </is>
      </c>
      <c r="E1" s="2" t="inlineStr">
        <is>
          <t>Rate</t>
        </is>
      </c>
      <c r="F1" s="2" t="inlineStr">
        <is>
          <t>Subtotal</t>
        </is>
      </c>
      <c r="G1" s="2" t="inlineStr">
        <is>
          <t>Fringe %</t>
        </is>
      </c>
      <c r="H1" s="2" t="inlineStr">
        <is>
          <t>Total</t>
        </is>
      </c>
      <c r="I1" s="2" t="inlineStr">
        <is>
          <t>Vendor</t>
        </is>
      </c>
      <c r="J1" s="2" t="inlineStr">
        <is>
          <t>Vendor URL</t>
        </is>
      </c>
      <c r="K1" s="2" t="inlineStr">
        <is>
          <t>Script Page</t>
        </is>
      </c>
      <c r="L1" s="2" t="inlineStr">
        <is>
          <t>Script Quote</t>
        </is>
      </c>
      <c r="M1" s="2" t="inlineStr">
        <is>
          <t>Notes</t>
        </is>
      </c>
      <c r="N1" s="2" t="inlineStr">
        <is>
          <t>Confidence</t>
        </is>
      </c>
      <c r="O1" s="2" t="inlineStr">
        <is>
          <t>Populated By</t>
        </is>
      </c>
    </row>
    <row r="2">
      <c r="A2" s="27" t="inlineStr">
        <is>
          <t>1400.01</t>
        </is>
      </c>
      <c r="B2" s="28" t="inlineStr">
        <is>
          <t>Executive Producer fee</t>
        </is>
      </c>
      <c r="C2" s="27" t="inlineStr">
        <is>
          <t>[DEAL]</t>
        </is>
      </c>
      <c r="D2" s="29" t="n"/>
      <c r="E2" s="29" t="n"/>
      <c r="F2" s="29" t="n"/>
      <c r="G2" s="29" t="n"/>
      <c r="H2" s="29" t="n"/>
      <c r="I2" s="29" t="n"/>
      <c r="J2" s="29" t="n"/>
      <c r="K2" s="29" t="n"/>
      <c r="L2" s="29" t="n"/>
      <c r="M2" s="29" t="n"/>
      <c r="N2" s="29" t="n"/>
      <c r="O2" s="30" t="inlineStr">
        <is>
          <t>DEAL</t>
        </is>
      </c>
    </row>
    <row r="3">
      <c r="A3" s="27" t="inlineStr">
        <is>
          <t>1400.02</t>
        </is>
      </c>
      <c r="B3" s="28" t="inlineStr">
        <is>
          <t>Producer fee</t>
        </is>
      </c>
      <c r="C3" s="27" t="inlineStr">
        <is>
          <t>[DEAL]</t>
        </is>
      </c>
      <c r="D3" s="29" t="n"/>
      <c r="E3" s="29" t="n"/>
      <c r="F3" s="29" t="n"/>
      <c r="G3" s="29" t="n"/>
      <c r="H3" s="29" t="n"/>
      <c r="I3" s="29" t="n"/>
      <c r="J3" s="29" t="n"/>
      <c r="K3" s="29" t="n"/>
      <c r="L3" s="29" t="n"/>
      <c r="M3" s="29" t="n"/>
      <c r="N3" s="29" t="n"/>
      <c r="O3" s="30" t="inlineStr">
        <is>
          <t>DEAL</t>
        </is>
      </c>
    </row>
    <row r="4">
      <c r="A4" s="27" t="inlineStr">
        <is>
          <t>1400.03</t>
        </is>
      </c>
      <c r="B4" s="28" t="inlineStr">
        <is>
          <t>Line Producer fee</t>
        </is>
      </c>
      <c r="C4" s="27" t="inlineStr">
        <is>
          <t>[DEAL]</t>
        </is>
      </c>
      <c r="D4" s="29" t="n"/>
      <c r="E4" s="29" t="n"/>
      <c r="F4" s="29" t="n"/>
      <c r="G4" s="29" t="n"/>
      <c r="H4" s="29" t="n"/>
      <c r="I4" s="29" t="n"/>
      <c r="J4" s="29" t="n"/>
      <c r="K4" s="29" t="n"/>
      <c r="L4" s="29" t="n"/>
      <c r="M4" s="29" t="n"/>
      <c r="N4" s="29" t="n"/>
      <c r="O4" s="30" t="inlineStr">
        <is>
          <t>DEAL</t>
        </is>
      </c>
    </row>
    <row r="5">
      <c r="A5" s="27" t="inlineStr">
        <is>
          <t>1400.04</t>
        </is>
      </c>
      <c r="B5" s="28" t="inlineStr">
        <is>
          <t>Producer assistant(s)</t>
        </is>
      </c>
      <c r="C5" s="27" t="inlineStr">
        <is>
          <t>[DEAL]</t>
        </is>
      </c>
      <c r="D5" s="29" t="n"/>
      <c r="E5" s="29" t="n"/>
      <c r="F5" s="29" t="n"/>
      <c r="G5" s="29" t="n"/>
      <c r="H5" s="29" t="n"/>
      <c r="I5" s="29" t="n"/>
      <c r="J5" s="29" t="n"/>
      <c r="K5" s="29" t="n"/>
      <c r="L5" s="29" t="n"/>
      <c r="M5" s="29" t="n"/>
      <c r="N5" s="29" t="n"/>
      <c r="O5" s="30" t="inlineStr">
        <is>
          <t>DEAL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0" customWidth="1" min="3" max="3"/>
    <col width="14" customWidth="1" min="4" max="4"/>
    <col width="12" customWidth="1" min="5" max="5"/>
    <col width="12" customWidth="1" min="6" max="6"/>
    <col width="10" customWidth="1" min="7" max="7"/>
    <col width="12" customWidth="1" min="8" max="8"/>
    <col width="20" customWidth="1" min="9" max="9"/>
    <col width="28" customWidth="1" min="10" max="10"/>
    <col width="11" customWidth="1" min="11" max="11"/>
    <col width="35" customWidth="1" min="12" max="12"/>
    <col width="35" customWidth="1" min="13" max="13"/>
    <col width="12" customWidth="1" min="14" max="14"/>
    <col width="14" customWidth="1" min="15" max="15"/>
  </cols>
  <sheetData>
    <row r="1">
      <c r="A1" s="2" t="inlineStr">
        <is>
          <t>Account No</t>
        </is>
      </c>
      <c r="B1" s="2" t="inlineStr">
        <is>
          <t>Description</t>
        </is>
      </c>
      <c r="C1" s="2" t="inlineStr">
        <is>
          <t>Amount</t>
        </is>
      </c>
      <c r="D1" s="2" t="inlineStr">
        <is>
          <t>Unit Type</t>
        </is>
      </c>
      <c r="E1" s="2" t="inlineStr">
        <is>
          <t>Rate</t>
        </is>
      </c>
      <c r="F1" s="2" t="inlineStr">
        <is>
          <t>Subtotal</t>
        </is>
      </c>
      <c r="G1" s="2" t="inlineStr">
        <is>
          <t>Fringe %</t>
        </is>
      </c>
      <c r="H1" s="2" t="inlineStr">
        <is>
          <t>Total</t>
        </is>
      </c>
      <c r="I1" s="2" t="inlineStr">
        <is>
          <t>Vendor</t>
        </is>
      </c>
      <c r="J1" s="2" t="inlineStr">
        <is>
          <t>Vendor URL</t>
        </is>
      </c>
      <c r="K1" s="2" t="inlineStr">
        <is>
          <t>Script Page</t>
        </is>
      </c>
      <c r="L1" s="2" t="inlineStr">
        <is>
          <t>Script Quote</t>
        </is>
      </c>
      <c r="M1" s="2" t="inlineStr">
        <is>
          <t>Notes</t>
        </is>
      </c>
      <c r="N1" s="2" t="inlineStr">
        <is>
          <t>Confidence</t>
        </is>
      </c>
      <c r="O1" s="2" t="inlineStr">
        <is>
          <t>Populated By</t>
        </is>
      </c>
    </row>
    <row r="2">
      <c r="A2" s="27" t="inlineStr">
        <is>
          <t>1500.01</t>
        </is>
      </c>
      <c r="B2" s="28" t="inlineStr">
        <is>
          <t>Director fee</t>
        </is>
      </c>
      <c r="C2" s="27" t="inlineStr">
        <is>
          <t>[DEAL]</t>
        </is>
      </c>
      <c r="D2" s="29" t="n"/>
      <c r="E2" s="29" t="n"/>
      <c r="F2" s="29" t="n"/>
      <c r="G2" s="29" t="n"/>
      <c r="H2" s="29" t="n"/>
      <c r="I2" s="29" t="n"/>
      <c r="J2" s="29" t="n"/>
      <c r="K2" s="29" t="n"/>
      <c r="L2" s="29" t="n"/>
      <c r="M2" s="29" t="n"/>
      <c r="N2" s="29" t="n"/>
      <c r="O2" s="30" t="inlineStr">
        <is>
          <t>DEAL</t>
        </is>
      </c>
    </row>
    <row r="3">
      <c r="A3" s="27" t="inlineStr">
        <is>
          <t>1500.02</t>
        </is>
      </c>
      <c r="B3" s="28" t="inlineStr">
        <is>
          <t>Director assistant</t>
        </is>
      </c>
      <c r="C3" s="27" t="inlineStr">
        <is>
          <t>[DEAL]</t>
        </is>
      </c>
      <c r="D3" s="29" t="n"/>
      <c r="E3" s="29" t="n"/>
      <c r="F3" s="29" t="n"/>
      <c r="G3" s="29" t="n"/>
      <c r="H3" s="29" t="n"/>
      <c r="I3" s="29" t="n"/>
      <c r="J3" s="29" t="n"/>
      <c r="K3" s="29" t="n"/>
      <c r="L3" s="29" t="n"/>
      <c r="M3" s="29" t="n"/>
      <c r="N3" s="29" t="n"/>
      <c r="O3" s="30" t="inlineStr">
        <is>
          <t>DEAL</t>
        </is>
      </c>
    </row>
    <row r="4">
      <c r="A4" s="27" t="inlineStr">
        <is>
          <t>1500.03</t>
        </is>
      </c>
      <c r="B4" s="28" t="inlineStr">
        <is>
          <t>Storyboard artist</t>
        </is>
      </c>
      <c r="C4" s="27" t="inlineStr">
        <is>
          <t>[DEAL]</t>
        </is>
      </c>
      <c r="D4" s="29" t="n"/>
      <c r="E4" s="29" t="n"/>
      <c r="F4" s="29" t="n"/>
      <c r="G4" s="29" t="n"/>
      <c r="H4" s="29" t="n"/>
      <c r="I4" s="29" t="n"/>
      <c r="J4" s="29" t="n"/>
      <c r="K4" s="29" t="n"/>
      <c r="L4" s="29" t="n"/>
      <c r="M4" s="29" t="n"/>
      <c r="N4" s="29" t="n"/>
      <c r="O4" s="30" t="inlineStr">
        <is>
          <t>DEAL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0" customWidth="1" min="3" max="3"/>
    <col width="14" customWidth="1" min="4" max="4"/>
    <col width="12" customWidth="1" min="5" max="5"/>
    <col width="12" customWidth="1" min="6" max="6"/>
    <col width="10" customWidth="1" min="7" max="7"/>
    <col width="12" customWidth="1" min="8" max="8"/>
    <col width="20" customWidth="1" min="9" max="9"/>
    <col width="28" customWidth="1" min="10" max="10"/>
    <col width="11" customWidth="1" min="11" max="11"/>
    <col width="35" customWidth="1" min="12" max="12"/>
    <col width="35" customWidth="1" min="13" max="13"/>
    <col width="12" customWidth="1" min="14" max="14"/>
    <col width="14" customWidth="1" min="15" max="15"/>
  </cols>
  <sheetData>
    <row r="1">
      <c r="A1" s="2" t="inlineStr">
        <is>
          <t>Account No</t>
        </is>
      </c>
      <c r="B1" s="2" t="inlineStr">
        <is>
          <t>Description</t>
        </is>
      </c>
      <c r="C1" s="2" t="inlineStr">
        <is>
          <t>Amount</t>
        </is>
      </c>
      <c r="D1" s="2" t="inlineStr">
        <is>
          <t>Unit Type</t>
        </is>
      </c>
      <c r="E1" s="2" t="inlineStr">
        <is>
          <t>Rate</t>
        </is>
      </c>
      <c r="F1" s="2" t="inlineStr">
        <is>
          <t>Subtotal</t>
        </is>
      </c>
      <c r="G1" s="2" t="inlineStr">
        <is>
          <t>Fringe %</t>
        </is>
      </c>
      <c r="H1" s="2" t="inlineStr">
        <is>
          <t>Total</t>
        </is>
      </c>
      <c r="I1" s="2" t="inlineStr">
        <is>
          <t>Vendor</t>
        </is>
      </c>
      <c r="J1" s="2" t="inlineStr">
        <is>
          <t>Vendor URL</t>
        </is>
      </c>
      <c r="K1" s="2" t="inlineStr">
        <is>
          <t>Script Page</t>
        </is>
      </c>
      <c r="L1" s="2" t="inlineStr">
        <is>
          <t>Script Quote</t>
        </is>
      </c>
      <c r="M1" s="2" t="inlineStr">
        <is>
          <t>Notes</t>
        </is>
      </c>
      <c r="N1" s="2" t="inlineStr">
        <is>
          <t>Confidence</t>
        </is>
      </c>
      <c r="O1" s="2" t="inlineStr">
        <is>
          <t>Populated By</t>
        </is>
      </c>
    </row>
    <row r="2">
      <c r="A2" s="5" t="inlineStr">
        <is>
          <t>1600.01</t>
        </is>
      </c>
      <c r="B2" s="24" t="inlineStr">
        <is>
          <t>J.J. GITTES — Principal Cast</t>
        </is>
      </c>
      <c r="C2" s="5" t="n">
        <v>8</v>
      </c>
      <c r="D2" s="5" t="inlineStr">
        <is>
          <t>Days</t>
        </is>
      </c>
      <c r="E2" s="31" t="n"/>
      <c r="F2" s="6">
        <f>IFERROR(C2*D2*E2,"")</f>
        <v/>
      </c>
      <c r="H2" s="6">
        <f>IFERROR(F2+(F2*G2),"")</f>
        <v/>
      </c>
      <c r="K2" s="32" t="n">
        <v>2</v>
      </c>
      <c r="L2" s="33" t="inlineStr">
        <is>
          <t>Never taking his eyes off Curly, he lights a cigarette using a lighter</t>
        </is>
      </c>
      <c r="M2" s="24" t="inlineStr">
        <is>
          <t>Appears in all 8 scenes extracted. Lead role — present in virtually every scene of the script. Day rate to be negotiated by Line Producer.</t>
        </is>
      </c>
      <c r="N2" s="34" t="inlineStr">
        <is>
          <t>High</t>
        </is>
      </c>
      <c r="O2" s="35" t="inlineStr">
        <is>
          <t>SCRIPT</t>
        </is>
      </c>
    </row>
    <row r="3">
      <c r="A3" s="5" t="inlineStr">
        <is>
          <t>1600.02</t>
        </is>
      </c>
      <c r="B3" s="24" t="inlineStr">
        <is>
          <t>CURLY — Principal Cast</t>
        </is>
      </c>
      <c r="C3" s="5" t="n">
        <v>4</v>
      </c>
      <c r="D3" s="5" t="inlineStr">
        <is>
          <t>Days</t>
        </is>
      </c>
      <c r="E3" s="31" t="n"/>
      <c r="F3" s="6">
        <f>IFERROR(C3*D3*E3,"")</f>
        <v/>
      </c>
      <c r="H3" s="6">
        <f>IFERROR(F3+(F3*G3),"")</f>
        <v/>
      </c>
      <c r="K3" s="32" t="n">
        <v>2</v>
      </c>
      <c r="L3" s="33" t="inlineStr">
        <is>
          <t>CURLY drops the photos on Gittes' desk. Curly towers over GITTES</t>
        </is>
      </c>
      <c r="M3" s="24" t="inlineStr">
        <is>
          <t>Appears in Scenes 1, 2, 4, and 5. Named speaking role with significant physical action.</t>
        </is>
      </c>
      <c r="N3" s="34" t="inlineStr">
        <is>
          <t>High</t>
        </is>
      </c>
      <c r="O3" s="35" t="inlineStr">
        <is>
          <t>SCRIPT</t>
        </is>
      </c>
    </row>
    <row r="4">
      <c r="A4" s="5" t="inlineStr">
        <is>
          <t>1600.03</t>
        </is>
      </c>
      <c r="B4" s="24" t="inlineStr">
        <is>
          <t>MRS. MULWRAY (imposter client) — Principal Cast</t>
        </is>
      </c>
      <c r="C4" s="5" t="n">
        <v>3</v>
      </c>
      <c r="D4" s="5" t="inlineStr">
        <is>
          <t>Days</t>
        </is>
      </c>
      <c r="E4" s="31" t="n"/>
      <c r="F4" s="6">
        <f>IFERROR(C4*D4*E4,"")</f>
        <v/>
      </c>
      <c r="H4" s="6">
        <f>IFERROR(F4+(F4*G4),"")</f>
        <v/>
      </c>
      <c r="K4" s="32" t="n">
        <v>5</v>
      </c>
      <c r="L4" s="33" t="inlineStr">
        <is>
          <t>A well-groomed, dark-haired WOMAN sits nervously between their two desks</t>
        </is>
      </c>
      <c r="M4" s="24" t="inlineStr">
        <is>
          <t>Named speaking role appearing as 'Mrs. Mulwray' — appears in Scenes 3, 6, and implicitly Scene 8 context. Later revealed as imposter. Day rate TBD.</t>
        </is>
      </c>
      <c r="N4" s="34" t="inlineStr">
        <is>
          <t>High</t>
        </is>
      </c>
      <c r="O4" s="35" t="inlineStr">
        <is>
          <t>SCRIPT</t>
        </is>
      </c>
    </row>
    <row r="5">
      <c r="A5" s="5" t="inlineStr">
        <is>
          <t>1600.04</t>
        </is>
      </c>
      <c r="B5" s="24" t="inlineStr">
        <is>
          <t>WALSH — Principal Supporting Cast</t>
        </is>
      </c>
      <c r="C5" s="5" t="n">
        <v>2</v>
      </c>
      <c r="D5" s="5" t="inlineStr">
        <is>
          <t>Days</t>
        </is>
      </c>
      <c r="E5" s="31" t="n"/>
      <c r="F5" s="6">
        <f>IFERROR(C5*D5*E5,"")</f>
        <v/>
      </c>
      <c r="H5" s="6">
        <f>IFERROR(F5+(F5*G5),"")</f>
        <v/>
      </c>
      <c r="K5" s="32" t="n">
        <v>3</v>
      </c>
      <c r="L5" s="33" t="inlineStr">
        <is>
          <t>WALSH (almost the manner of someone comforting the bereaved) If you'll allow us</t>
        </is>
      </c>
      <c r="M5" s="24" t="inlineStr">
        <is>
          <t>Named speaking role. Appears in Scenes 3 and 6. Gittes operative.</t>
        </is>
      </c>
      <c r="N5" s="34" t="inlineStr">
        <is>
          <t>High</t>
        </is>
      </c>
      <c r="O5" s="35" t="inlineStr">
        <is>
          <t>SCRIPT</t>
        </is>
      </c>
    </row>
    <row r="6">
      <c r="A6" s="5" t="inlineStr">
        <is>
          <t>1600.05</t>
        </is>
      </c>
      <c r="B6" s="24" t="inlineStr">
        <is>
          <t>DUFFY — Principal Supporting Cast</t>
        </is>
      </c>
      <c r="C6" s="5" t="n">
        <v>2</v>
      </c>
      <c r="D6" s="5" t="inlineStr">
        <is>
          <t>Days</t>
        </is>
      </c>
      <c r="E6" s="31" t="n"/>
      <c r="F6" s="6">
        <f>IFERROR(C6*D6*E6,"")</f>
        <v/>
      </c>
      <c r="H6" s="6">
        <f>IFERROR(F6+(F6*G6),"")</f>
        <v/>
      </c>
      <c r="K6" s="32" t="n">
        <v>5</v>
      </c>
      <c r="L6" s="33" t="inlineStr">
        <is>
          <t>DUFFY (a little eagerly) Chief Engineer?</t>
        </is>
      </c>
      <c r="M6" s="24" t="inlineStr">
        <is>
          <t>Named speaking role. Appears in Scenes 6 and referenced in Scene 3. Gittes operative.</t>
        </is>
      </c>
      <c r="N6" s="34" t="inlineStr">
        <is>
          <t>High</t>
        </is>
      </c>
      <c r="O6" s="35" t="inlineStr">
        <is>
          <t>SCRIPT</t>
        </is>
      </c>
    </row>
    <row r="7">
      <c r="A7" s="5" t="inlineStr">
        <is>
          <t>1600.06</t>
        </is>
      </c>
      <c r="B7" s="24" t="inlineStr">
        <is>
          <t>SOPHIE — Principal Supporting Cast</t>
        </is>
      </c>
      <c r="C7" s="5" t="n">
        <v>1</v>
      </c>
      <c r="D7" s="5" t="inlineStr">
        <is>
          <t>Days</t>
        </is>
      </c>
      <c r="E7" s="31" t="n"/>
      <c r="F7" s="6">
        <f>IFERROR(C7*D7*E7,"")</f>
        <v/>
      </c>
      <c r="H7" s="6">
        <f>IFERROR(F7+(F7*G7),"")</f>
        <v/>
      </c>
      <c r="K7" s="32" t="n">
        <v>4</v>
      </c>
      <c r="L7" s="33" t="inlineStr">
        <is>
          <t>walking him past SOPHIE who pointedly averts her gaze</t>
        </is>
      </c>
      <c r="M7" s="24" t="inlineStr">
        <is>
          <t>Named role — no dialogue in extracted pages but named and featured in action. Appears Scene 5. Monitor for dialogue in subsequent pages.</t>
        </is>
      </c>
      <c r="N7" s="34" t="inlineStr">
        <is>
          <t>High</t>
        </is>
      </c>
      <c r="O7" s="35" t="inlineStr">
        <is>
          <t>SCRIPT</t>
        </is>
      </c>
    </row>
    <row r="8">
      <c r="A8" s="5" t="inlineStr">
        <is>
          <t>1600.07</t>
        </is>
      </c>
      <c r="B8" s="24" t="inlineStr">
        <is>
          <t>SAM BAGBY — Principal Supporting Cast</t>
        </is>
      </c>
      <c r="C8" s="5" t="n">
        <v>1</v>
      </c>
      <c r="D8" s="5" t="inlineStr">
        <is>
          <t>Days</t>
        </is>
      </c>
      <c r="E8" s="31" t="n"/>
      <c r="F8" s="6">
        <f>IFERROR(C8*D8*E8,"")</f>
        <v/>
      </c>
      <c r="H8" s="6">
        <f>IFERROR(F8+(F8*G8),"")</f>
        <v/>
      </c>
      <c r="K8" s="32" t="n">
        <v>7</v>
      </c>
      <c r="L8" s="33" t="inlineStr">
        <is>
          <t>Former Mayor SAM BAGBY is speaking. Behind him is a huge map</t>
        </is>
      </c>
      <c r="M8" s="24" t="inlineStr">
        <is>
          <t>Named speaking role — former Mayor, delivers extended speech in Council Chambers. Appears Scene 8.</t>
        </is>
      </c>
      <c r="N8" s="34" t="inlineStr">
        <is>
          <t>High</t>
        </is>
      </c>
      <c r="O8" s="35" t="inlineStr">
        <is>
          <t>SCRIPT</t>
        </is>
      </c>
    </row>
    <row r="9">
      <c r="A9" s="27" t="inlineStr">
        <is>
          <t>1600.08</t>
        </is>
      </c>
      <c r="B9" s="28" t="inlineStr">
        <is>
          <t>Casting Director</t>
        </is>
      </c>
      <c r="C9" s="27" t="inlineStr">
        <is>
          <t>[DEAL]</t>
        </is>
      </c>
      <c r="D9" s="29" t="n"/>
      <c r="E9" s="29" t="n"/>
      <c r="F9" s="29" t="n"/>
      <c r="G9" s="29" t="n"/>
      <c r="H9" s="29" t="n"/>
      <c r="I9" s="29" t="n"/>
      <c r="J9" s="29" t="n"/>
      <c r="K9" s="29" t="n"/>
      <c r="L9" s="29" t="n"/>
      <c r="M9" s="29" t="n"/>
      <c r="N9" s="29" t="n"/>
      <c r="O9" s="30" t="inlineStr">
        <is>
          <t>DEAL</t>
        </is>
      </c>
    </row>
    <row r="10">
      <c r="A10" s="27" t="inlineStr">
        <is>
          <t>1600.09</t>
        </is>
      </c>
      <c r="B10" s="28" t="inlineStr">
        <is>
          <t>Casting Associate</t>
        </is>
      </c>
      <c r="C10" s="27" t="inlineStr">
        <is>
          <t>[DEAL]</t>
        </is>
      </c>
      <c r="D10" s="29" t="n"/>
      <c r="E10" s="29" t="n"/>
      <c r="F10" s="29" t="n"/>
      <c r="G10" s="29" t="n"/>
      <c r="H10" s="29" t="n"/>
      <c r="I10" s="29" t="n"/>
      <c r="J10" s="29" t="n"/>
      <c r="K10" s="29" t="n"/>
      <c r="L10" s="29" t="n"/>
      <c r="M10" s="29" t="n"/>
      <c r="N10" s="29" t="n"/>
      <c r="O10" s="30" t="inlineStr">
        <is>
          <t>DEAL</t>
        </is>
      </c>
    </row>
  </sheetData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0" customWidth="1" min="3" max="3"/>
    <col width="14" customWidth="1" min="4" max="4"/>
    <col width="12" customWidth="1" min="5" max="5"/>
    <col width="12" customWidth="1" min="6" max="6"/>
    <col width="10" customWidth="1" min="7" max="7"/>
    <col width="12" customWidth="1" min="8" max="8"/>
    <col width="20" customWidth="1" min="9" max="9"/>
    <col width="28" customWidth="1" min="10" max="10"/>
    <col width="11" customWidth="1" min="11" max="11"/>
    <col width="35" customWidth="1" min="12" max="12"/>
    <col width="35" customWidth="1" min="13" max="13"/>
    <col width="12" customWidth="1" min="14" max="14"/>
    <col width="14" customWidth="1" min="15" max="15"/>
  </cols>
  <sheetData>
    <row r="1">
      <c r="A1" s="2" t="inlineStr">
        <is>
          <t>Account No</t>
        </is>
      </c>
      <c r="B1" s="2" t="inlineStr">
        <is>
          <t>Description</t>
        </is>
      </c>
      <c r="C1" s="2" t="inlineStr">
        <is>
          <t>Amount</t>
        </is>
      </c>
      <c r="D1" s="2" t="inlineStr">
        <is>
          <t>Unit Type</t>
        </is>
      </c>
      <c r="E1" s="2" t="inlineStr">
        <is>
          <t>Rate</t>
        </is>
      </c>
      <c r="F1" s="2" t="inlineStr">
        <is>
          <t>Subtotal</t>
        </is>
      </c>
      <c r="G1" s="2" t="inlineStr">
        <is>
          <t>Fringe %</t>
        </is>
      </c>
      <c r="H1" s="2" t="inlineStr">
        <is>
          <t>Total</t>
        </is>
      </c>
      <c r="I1" s="2" t="inlineStr">
        <is>
          <t>Vendor</t>
        </is>
      </c>
      <c r="J1" s="2" t="inlineStr">
        <is>
          <t>Vendor URL</t>
        </is>
      </c>
      <c r="K1" s="2" t="inlineStr">
        <is>
          <t>Script Page</t>
        </is>
      </c>
      <c r="L1" s="2" t="inlineStr">
        <is>
          <t>Script Quote</t>
        </is>
      </c>
      <c r="M1" s="2" t="inlineStr">
        <is>
          <t>Notes</t>
        </is>
      </c>
      <c r="N1" s="2" t="inlineStr">
        <is>
          <t>Confidence</t>
        </is>
      </c>
      <c r="O1" s="2" t="inlineStr">
        <is>
          <t>Populated By</t>
        </is>
      </c>
    </row>
    <row r="2">
      <c r="A2" s="27" t="inlineStr">
        <is>
          <t>2100.01</t>
        </is>
      </c>
      <c r="B2" s="28" t="inlineStr">
        <is>
          <t>Production Manager / UPM</t>
        </is>
      </c>
      <c r="C2" s="27" t="inlineStr">
        <is>
          <t>[SCHEDULE]</t>
        </is>
      </c>
      <c r="D2" s="29" t="n"/>
      <c r="E2" s="29" t="n"/>
      <c r="F2" s="29" t="n"/>
      <c r="G2" s="29" t="n"/>
      <c r="H2" s="29" t="n"/>
      <c r="I2" s="29" t="n"/>
      <c r="J2" s="29" t="n"/>
      <c r="K2" s="29" t="n"/>
      <c r="L2" s="29" t="n"/>
      <c r="M2" s="29" t="n"/>
      <c r="N2" s="29" t="n"/>
      <c r="O2" s="36" t="inlineStr">
        <is>
          <t>SCHEDULE</t>
        </is>
      </c>
    </row>
    <row r="3">
      <c r="A3" s="27" t="inlineStr">
        <is>
          <t>2100.02</t>
        </is>
      </c>
      <c r="B3" s="28" t="inlineStr">
        <is>
          <t>1st Assistant Director</t>
        </is>
      </c>
      <c r="C3" s="27" t="inlineStr">
        <is>
          <t>[SCHEDULE]</t>
        </is>
      </c>
      <c r="D3" s="29" t="n"/>
      <c r="E3" s="29" t="n"/>
      <c r="F3" s="29" t="n"/>
      <c r="G3" s="29" t="n"/>
      <c r="H3" s="29" t="n"/>
      <c r="I3" s="29" t="n"/>
      <c r="J3" s="29" t="n"/>
      <c r="K3" s="29" t="n"/>
      <c r="L3" s="29" t="n"/>
      <c r="M3" s="29" t="n"/>
      <c r="N3" s="29" t="n"/>
      <c r="O3" s="36" t="inlineStr">
        <is>
          <t>SCHEDULE</t>
        </is>
      </c>
    </row>
    <row r="4">
      <c r="A4" s="27" t="inlineStr">
        <is>
          <t>2100.03</t>
        </is>
      </c>
      <c r="B4" s="28" t="inlineStr">
        <is>
          <t>2nd Assistant Director</t>
        </is>
      </c>
      <c r="C4" s="27" t="inlineStr">
        <is>
          <t>[SCHEDULE]</t>
        </is>
      </c>
      <c r="D4" s="29" t="n"/>
      <c r="E4" s="29" t="n"/>
      <c r="F4" s="29" t="n"/>
      <c r="G4" s="29" t="n"/>
      <c r="H4" s="29" t="n"/>
      <c r="I4" s="29" t="n"/>
      <c r="J4" s="29" t="n"/>
      <c r="K4" s="29" t="n"/>
      <c r="L4" s="29" t="n"/>
      <c r="M4" s="29" t="n"/>
      <c r="N4" s="29" t="n"/>
      <c r="O4" s="36" t="inlineStr">
        <is>
          <t>SCHEDULE</t>
        </is>
      </c>
    </row>
    <row r="5">
      <c r="A5" s="27" t="inlineStr">
        <is>
          <t>2100.04</t>
        </is>
      </c>
      <c r="B5" s="28" t="inlineStr">
        <is>
          <t>Production Coordinator</t>
        </is>
      </c>
      <c r="C5" s="27" t="inlineStr">
        <is>
          <t>[SCHEDULE]</t>
        </is>
      </c>
      <c r="D5" s="29" t="n"/>
      <c r="E5" s="29" t="n"/>
      <c r="F5" s="29" t="n"/>
      <c r="G5" s="29" t="n"/>
      <c r="H5" s="29" t="n"/>
      <c r="I5" s="29" t="n"/>
      <c r="J5" s="29" t="n"/>
      <c r="K5" s="29" t="n"/>
      <c r="L5" s="29" t="n"/>
      <c r="M5" s="29" t="n"/>
      <c r="N5" s="29" t="n"/>
      <c r="O5" s="36" t="inlineStr">
        <is>
          <t>SCHEDULE</t>
        </is>
      </c>
    </row>
    <row r="6">
      <c r="A6" s="27" t="inlineStr">
        <is>
          <t>2100.05</t>
        </is>
      </c>
      <c r="B6" s="28" t="inlineStr">
        <is>
          <t>Production Secretary</t>
        </is>
      </c>
      <c r="C6" s="27" t="inlineStr">
        <is>
          <t>[SCHEDULE]</t>
        </is>
      </c>
      <c r="D6" s="29" t="n"/>
      <c r="E6" s="29" t="n"/>
      <c r="F6" s="29" t="n"/>
      <c r="G6" s="29" t="n"/>
      <c r="H6" s="29" t="n"/>
      <c r="I6" s="29" t="n"/>
      <c r="J6" s="29" t="n"/>
      <c r="K6" s="29" t="n"/>
      <c r="L6" s="29" t="n"/>
      <c r="M6" s="29" t="n"/>
      <c r="N6" s="29" t="n"/>
      <c r="O6" s="36" t="inlineStr">
        <is>
          <t>SCHEDULE</t>
        </is>
      </c>
    </row>
    <row r="7">
      <c r="A7" s="27" t="inlineStr">
        <is>
          <t>2100.06</t>
        </is>
      </c>
      <c r="B7" s="28" t="inlineStr">
        <is>
          <t>Location Manager</t>
        </is>
      </c>
      <c r="C7" s="27" t="inlineStr">
        <is>
          <t>[SCHEDULE]</t>
        </is>
      </c>
      <c r="D7" s="29" t="n"/>
      <c r="E7" s="29" t="n"/>
      <c r="F7" s="29" t="n"/>
      <c r="G7" s="29" t="n"/>
      <c r="H7" s="29" t="n"/>
      <c r="I7" s="29" t="n"/>
      <c r="J7" s="29" t="n"/>
      <c r="K7" s="29" t="n"/>
      <c r="L7" s="29" t="n"/>
      <c r="M7" s="29" t="n"/>
      <c r="N7" s="29" t="n"/>
      <c r="O7" s="36" t="inlineStr">
        <is>
          <t>SCHEDULE</t>
        </is>
      </c>
    </row>
    <row r="8">
      <c r="A8" s="27" t="inlineStr">
        <is>
          <t>2100.07</t>
        </is>
      </c>
      <c r="B8" s="28" t="inlineStr">
        <is>
          <t>Production Accountant</t>
        </is>
      </c>
      <c r="C8" s="27" t="inlineStr">
        <is>
          <t>[SCHEDULE]</t>
        </is>
      </c>
      <c r="D8" s="29" t="n"/>
      <c r="E8" s="29" t="n"/>
      <c r="F8" s="29" t="n"/>
      <c r="G8" s="29" t="n"/>
      <c r="H8" s="29" t="n"/>
      <c r="I8" s="29" t="n"/>
      <c r="J8" s="29" t="n"/>
      <c r="K8" s="29" t="n"/>
      <c r="L8" s="29" t="n"/>
      <c r="M8" s="29" t="n"/>
      <c r="N8" s="29" t="n"/>
      <c r="O8" s="36" t="inlineStr">
        <is>
          <t>SCHEDULE</t>
        </is>
      </c>
    </row>
    <row r="9">
      <c r="A9" s="27" t="inlineStr">
        <is>
          <t>2100.08</t>
        </is>
      </c>
      <c r="B9" s="28" t="inlineStr">
        <is>
          <t>Payroll services</t>
        </is>
      </c>
      <c r="C9" s="27" t="inlineStr">
        <is>
          <t>[DEAL]</t>
        </is>
      </c>
      <c r="D9" s="29" t="n"/>
      <c r="E9" s="29" t="n"/>
      <c r="F9" s="29" t="n"/>
      <c r="G9" s="29" t="n"/>
      <c r="H9" s="29" t="n"/>
      <c r="I9" s="29" t="n"/>
      <c r="J9" s="29" t="n"/>
      <c r="K9" s="29" t="n"/>
      <c r="L9" s="29" t="n"/>
      <c r="M9" s="29" t="n"/>
      <c r="N9" s="29" t="n"/>
      <c r="O9" s="30" t="inlineStr">
        <is>
          <t>DEAL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0" customWidth="1" min="3" max="3"/>
    <col width="14" customWidth="1" min="4" max="4"/>
    <col width="12" customWidth="1" min="5" max="5"/>
    <col width="12" customWidth="1" min="6" max="6"/>
    <col width="10" customWidth="1" min="7" max="7"/>
    <col width="12" customWidth="1" min="8" max="8"/>
    <col width="20" customWidth="1" min="9" max="9"/>
    <col width="28" customWidth="1" min="10" max="10"/>
    <col width="11" customWidth="1" min="11" max="11"/>
    <col width="35" customWidth="1" min="12" max="12"/>
    <col width="35" customWidth="1" min="13" max="13"/>
    <col width="12" customWidth="1" min="14" max="14"/>
    <col width="14" customWidth="1" min="15" max="15"/>
  </cols>
  <sheetData>
    <row r="1">
      <c r="A1" s="2" t="inlineStr">
        <is>
          <t>Account No</t>
        </is>
      </c>
      <c r="B1" s="2" t="inlineStr">
        <is>
          <t>Description</t>
        </is>
      </c>
      <c r="C1" s="2" t="inlineStr">
        <is>
          <t>Amount</t>
        </is>
      </c>
      <c r="D1" s="2" t="inlineStr">
        <is>
          <t>Unit Type</t>
        </is>
      </c>
      <c r="E1" s="2" t="inlineStr">
        <is>
          <t>Rate</t>
        </is>
      </c>
      <c r="F1" s="2" t="inlineStr">
        <is>
          <t>Subtotal</t>
        </is>
      </c>
      <c r="G1" s="2" t="inlineStr">
        <is>
          <t>Fringe %</t>
        </is>
      </c>
      <c r="H1" s="2" t="inlineStr">
        <is>
          <t>Total</t>
        </is>
      </c>
      <c r="I1" s="2" t="inlineStr">
        <is>
          <t>Vendor</t>
        </is>
      </c>
      <c r="J1" s="2" t="inlineStr">
        <is>
          <t>Vendor URL</t>
        </is>
      </c>
      <c r="K1" s="2" t="inlineStr">
        <is>
          <t>Script Page</t>
        </is>
      </c>
      <c r="L1" s="2" t="inlineStr">
        <is>
          <t>Script Quote</t>
        </is>
      </c>
      <c r="M1" s="2" t="inlineStr">
        <is>
          <t>Notes</t>
        </is>
      </c>
      <c r="N1" s="2" t="inlineStr">
        <is>
          <t>Confidence</t>
        </is>
      </c>
      <c r="O1" s="2" t="inlineStr">
        <is>
          <t>Populated By</t>
        </is>
      </c>
    </row>
    <row r="2">
      <c r="A2" s="5" t="inlineStr">
        <is>
          <t>2200.01</t>
        </is>
      </c>
      <c r="B2" s="24" t="inlineStr">
        <is>
          <t>Period set construction — J.J. Gittes' private office, 1930s Los Angeles</t>
        </is>
      </c>
      <c r="C2" s="5" t="n">
        <v>1</v>
      </c>
      <c r="D2" s="5" t="inlineStr">
        <is>
          <t>Allow</t>
        </is>
      </c>
      <c r="E2" s="31" t="n"/>
      <c r="F2" s="6">
        <f>IFERROR(C2*D2*E2,"")</f>
        <v/>
      </c>
      <c r="H2" s="6">
        <f>IFERROR(F2+(F2*G2),"")</f>
        <v/>
      </c>
      <c r="K2" s="32" t="n">
        <v>2</v>
      </c>
      <c r="L2" s="33" t="inlineStr">
        <is>
          <t>He looks cool and brisk in a white linen suit despite the heat.</t>
        </is>
      </c>
      <c r="M2" s="24" t="inlineStr">
        <is>
          <t>Period 1930s interior. Requires period-appropriate desk, overhead fan, Venetian blinds, wall dressing. Fan must be practical (operational on camera). Wall dent from Curly's fist punch must be a breakaway/soft-wall insert panel — coordinate with Props for continuity.</t>
        </is>
      </c>
      <c r="N2" s="34" t="inlineStr">
        <is>
          <t>High</t>
        </is>
      </c>
      <c r="O2" s="35" t="inlineStr">
        <is>
          <t>SCRIPT</t>
        </is>
      </c>
    </row>
    <row r="3">
      <c r="A3" s="5" t="inlineStr">
        <is>
          <t>2200.02</t>
        </is>
      </c>
      <c r="B3" s="24" t="inlineStr">
        <is>
          <t>Period set construction — Duffy &amp; Walsh's office, 1930s Los Angeles</t>
        </is>
      </c>
      <c r="C3" s="5" t="n">
        <v>1</v>
      </c>
      <c r="D3" s="5" t="inlineStr">
        <is>
          <t>Allow</t>
        </is>
      </c>
      <c r="E3" s="31" t="n"/>
      <c r="F3" s="6">
        <f>IFERROR(C3*D3*E3,"")</f>
        <v/>
      </c>
      <c r="H3" s="6">
        <f>IFERROR(F3+(F3*G3),"")</f>
        <v/>
      </c>
      <c r="K3" s="32" t="n">
        <v>3</v>
      </c>
      <c r="L3" s="33" t="inlineStr">
        <is>
          <t>Noticeably less plush than Gitte's.</t>
        </is>
      </c>
      <c r="M3" s="24" t="inlineStr">
        <is>
          <t>Period 1930s interior. Notably less dressed/furnished than Gittes' office — intentional production design distinction. Two desks required.</t>
        </is>
      </c>
      <c r="N3" s="34" t="inlineStr">
        <is>
          <t>High</t>
        </is>
      </c>
      <c r="O3" s="35" t="inlineStr">
        <is>
          <t>SCRIPT</t>
        </is>
      </c>
    </row>
    <row r="4">
      <c r="A4" s="5" t="inlineStr">
        <is>
          <t>2200.03</t>
        </is>
      </c>
      <c r="B4" s="24" t="inlineStr">
        <is>
          <t>Period set construction — office reception area, 1930s</t>
        </is>
      </c>
      <c r="C4" s="5" t="n">
        <v>1</v>
      </c>
      <c r="D4" s="5" t="inlineStr">
        <is>
          <t>Allow</t>
        </is>
      </c>
      <c r="E4" s="31" t="n"/>
      <c r="F4" s="6">
        <f>IFERROR(C4*D4*E4,"")</f>
        <v/>
      </c>
      <c r="H4" s="6">
        <f>IFERROR(F4+(F4*G4),"")</f>
        <v/>
      </c>
      <c r="K4" s="32" t="n">
        <v>4</v>
      </c>
      <c r="L4" s="33" t="inlineStr">
        <is>
          <t>He opens the door where on the pebbled glass can be read: 'J. J. GITTES and Associates. DISCREET INVESTIGATION'</t>
        </is>
      </c>
      <c r="M4" s="24" t="inlineStr">
        <is>
          <t>Period pebbled-glass door with painted lettering 'J. J. GITTES and Associates. DISCREET INVESTIGATION' — featured on camera, requires period sign-writing or period-accurate glass panel. Sophie's reception desk required.</t>
        </is>
      </c>
      <c r="N4" s="34" t="inlineStr">
        <is>
          <t>High</t>
        </is>
      </c>
      <c r="O4" s="35" t="inlineStr">
        <is>
          <t>SCRIPT</t>
        </is>
      </c>
    </row>
    <row r="5">
      <c r="A5" s="5" t="inlineStr">
        <is>
          <t>2200.04</t>
        </is>
      </c>
      <c r="B5" s="24" t="inlineStr">
        <is>
          <t>Period set construction — City Hall exterior steps and fountain, 1930s Los Angeles</t>
        </is>
      </c>
      <c r="C5" s="5" t="n">
        <v>1</v>
      </c>
      <c r="D5" s="5" t="inlineStr">
        <is>
          <t>Allow</t>
        </is>
      </c>
      <c r="E5" s="31" t="n"/>
      <c r="F5" s="6">
        <f>IFERROR(C5*D5*E5,"")</f>
        <v/>
      </c>
      <c r="H5" s="6">
        <f>IFERROR(F5+(F5*G5),"")</f>
        <v/>
      </c>
      <c r="K5" s="32" t="n">
        <v>7</v>
      </c>
      <c r="L5" s="33" t="inlineStr">
        <is>
          <t>EXT. CITY HALL – MORNING. Already shimmering with heat. A drunk blows his nose with his fingers into the fountain.</t>
        </is>
      </c>
      <c r="M5" s="24" t="inlineStr">
        <is>
          <t>EXT location. May be practical City Hall location or period facade build. Practical fountain required on camera. Confirm location vs. build with production designer.</t>
        </is>
      </c>
      <c r="N5" s="37" t="inlineStr">
        <is>
          <t>Medium</t>
        </is>
      </c>
      <c r="O5" s="35" t="inlineStr">
        <is>
          <t>SCRIPT</t>
        </is>
      </c>
    </row>
    <row r="6">
      <c r="A6" s="5" t="inlineStr">
        <is>
          <t>2200.05</t>
        </is>
      </c>
      <c r="B6" s="24" t="inlineStr">
        <is>
          <t>Period set construction — Council Chambers interior, 1930s Los Angeles</t>
        </is>
      </c>
      <c r="C6" s="5" t="n">
        <v>1</v>
      </c>
      <c r="D6" s="5" t="inlineStr">
        <is>
          <t>Allow</t>
        </is>
      </c>
      <c r="E6" s="31" t="n"/>
      <c r="F6" s="6">
        <f>IFERROR(C6*D6*E6,"")</f>
        <v/>
      </c>
      <c r="H6" s="6">
        <f>IFERROR(F6+(F6*G6),"")</f>
        <v/>
      </c>
      <c r="K6" s="32" t="n">
        <v>7</v>
      </c>
      <c r="L6" s="33" t="inlineStr">
        <is>
          <t>Behind him is a huge map, with overleafs and bold lettering: 'PROPOSED ALTO VALLEJO DAM AND RESERVOIR'</t>
        </is>
      </c>
      <c r="M6" s="24" t="inlineStr">
        <is>
          <t>Period council chamber. Large-format period map/graphic display required — 'PROPOSED ALTO VALLEJO DAM AND RESERVOIR' — coordinate with Art Dept for oversized period map fabrication (see 2500 for hero prop flag). Councilmen seating arrangement required.</t>
        </is>
      </c>
      <c r="N6" s="34" t="inlineStr">
        <is>
          <t>High</t>
        </is>
      </c>
      <c r="O6" s="35" t="inlineStr">
        <is>
          <t>SCRIPT</t>
        </is>
      </c>
    </row>
    <row r="7">
      <c r="A7" s="27" t="inlineStr">
        <is>
          <t>2200.06</t>
        </is>
      </c>
      <c r="B7" s="28" t="inlineStr">
        <is>
          <t>Production Designer</t>
        </is>
      </c>
      <c r="C7" s="27" t="inlineStr">
        <is>
          <t>[DEAL]</t>
        </is>
      </c>
      <c r="D7" s="29" t="n"/>
      <c r="E7" s="29" t="n"/>
      <c r="F7" s="29" t="n"/>
      <c r="G7" s="29" t="n"/>
      <c r="H7" s="29" t="n"/>
      <c r="I7" s="29" t="n"/>
      <c r="J7" s="29" t="n"/>
      <c r="K7" s="29" t="n"/>
      <c r="L7" s="29" t="n"/>
      <c r="M7" s="29" t="n"/>
      <c r="N7" s="29" t="n"/>
      <c r="O7" s="30" t="inlineStr">
        <is>
          <t>DEAL</t>
        </is>
      </c>
    </row>
    <row r="8">
      <c r="A8" s="27" t="inlineStr">
        <is>
          <t>2200.07</t>
        </is>
      </c>
      <c r="B8" s="28" t="inlineStr">
        <is>
          <t>Art Director</t>
        </is>
      </c>
      <c r="C8" s="27" t="inlineStr">
        <is>
          <t>[DEAL]</t>
        </is>
      </c>
      <c r="D8" s="29" t="n"/>
      <c r="E8" s="29" t="n"/>
      <c r="F8" s="29" t="n"/>
      <c r="G8" s="29" t="n"/>
      <c r="H8" s="29" t="n"/>
      <c r="I8" s="29" t="n"/>
      <c r="J8" s="29" t="n"/>
      <c r="K8" s="29" t="n"/>
      <c r="L8" s="29" t="n"/>
      <c r="M8" s="29" t="n"/>
      <c r="N8" s="29" t="n"/>
      <c r="O8" s="30" t="inlineStr">
        <is>
          <t>DEAL</t>
        </is>
      </c>
    </row>
    <row r="9">
      <c r="A9" s="27" t="inlineStr">
        <is>
          <t>2200.08</t>
        </is>
      </c>
      <c r="B9" s="28" t="inlineStr">
        <is>
          <t>Set Designer / Drafting</t>
        </is>
      </c>
      <c r="C9" s="27" t="inlineStr">
        <is>
          <t>[DEAL]</t>
        </is>
      </c>
      <c r="D9" s="29" t="n"/>
      <c r="E9" s="29" t="n"/>
      <c r="F9" s="29" t="n"/>
      <c r="G9" s="29" t="n"/>
      <c r="H9" s="29" t="n"/>
      <c r="I9" s="29" t="n"/>
      <c r="J9" s="29" t="n"/>
      <c r="K9" s="29" t="n"/>
      <c r="L9" s="29" t="n"/>
      <c r="M9" s="29" t="n"/>
      <c r="N9" s="29" t="n"/>
      <c r="O9" s="30" t="inlineStr">
        <is>
          <t>DEAL</t>
        </is>
      </c>
    </row>
    <row r="10">
      <c r="A10" s="27" t="inlineStr">
        <is>
          <t>2200.09</t>
        </is>
      </c>
      <c r="B10" s="28" t="inlineStr">
        <is>
          <t>Art Department Assistant</t>
        </is>
      </c>
      <c r="C10" s="27" t="inlineStr">
        <is>
          <t>[DEAL]</t>
        </is>
      </c>
      <c r="D10" s="29" t="n"/>
      <c r="E10" s="29" t="n"/>
      <c r="F10" s="29" t="n"/>
      <c r="G10" s="29" t="n"/>
      <c r="H10" s="29" t="n"/>
      <c r="I10" s="29" t="n"/>
      <c r="J10" s="29" t="n"/>
      <c r="K10" s="29" t="n"/>
      <c r="L10" s="29" t="n"/>
      <c r="M10" s="29" t="n"/>
      <c r="N10" s="29" t="n"/>
      <c r="O10" s="30" t="inlineStr">
        <is>
          <t>DEAL</t>
        </is>
      </c>
    </row>
    <row r="11">
      <c r="A11" s="27" t="inlineStr">
        <is>
          <t>2200.10</t>
        </is>
      </c>
      <c r="B11" s="28" t="inlineStr">
        <is>
          <t>Art Department supplies</t>
        </is>
      </c>
      <c r="C11" s="27" t="inlineStr">
        <is>
          <t>[DEAL]</t>
        </is>
      </c>
      <c r="D11" s="29" t="n"/>
      <c r="E11" s="29" t="n"/>
      <c r="F11" s="29" t="n"/>
      <c r="G11" s="29" t="n"/>
      <c r="H11" s="29" t="n"/>
      <c r="I11" s="29" t="n"/>
      <c r="J11" s="29" t="n"/>
      <c r="K11" s="29" t="n"/>
      <c r="L11" s="29" t="n"/>
      <c r="M11" s="29" t="n"/>
      <c r="N11" s="29" t="n"/>
      <c r="O11" s="30" t="inlineStr">
        <is>
          <t>DEAL</t>
        </is>
      </c>
    </row>
  </sheetData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0" customWidth="1" min="3" max="3"/>
    <col width="14" customWidth="1" min="4" max="4"/>
    <col width="12" customWidth="1" min="5" max="5"/>
    <col width="12" customWidth="1" min="6" max="6"/>
    <col width="10" customWidth="1" min="7" max="7"/>
    <col width="12" customWidth="1" min="8" max="8"/>
    <col width="20" customWidth="1" min="9" max="9"/>
    <col width="28" customWidth="1" min="10" max="10"/>
    <col width="11" customWidth="1" min="11" max="11"/>
    <col width="35" customWidth="1" min="12" max="12"/>
    <col width="35" customWidth="1" min="13" max="13"/>
    <col width="12" customWidth="1" min="14" max="14"/>
    <col width="14" customWidth="1" min="15" max="15"/>
  </cols>
  <sheetData>
    <row r="1">
      <c r="A1" s="2" t="inlineStr">
        <is>
          <t>Account No</t>
        </is>
      </c>
      <c r="B1" s="2" t="inlineStr">
        <is>
          <t>Description</t>
        </is>
      </c>
      <c r="C1" s="2" t="inlineStr">
        <is>
          <t>Amount</t>
        </is>
      </c>
      <c r="D1" s="2" t="inlineStr">
        <is>
          <t>Unit Type</t>
        </is>
      </c>
      <c r="E1" s="2" t="inlineStr">
        <is>
          <t>Rate</t>
        </is>
      </c>
      <c r="F1" s="2" t="inlineStr">
        <is>
          <t>Subtotal</t>
        </is>
      </c>
      <c r="G1" s="2" t="inlineStr">
        <is>
          <t>Fringe %</t>
        </is>
      </c>
      <c r="H1" s="2" t="inlineStr">
        <is>
          <t>Total</t>
        </is>
      </c>
      <c r="I1" s="2" t="inlineStr">
        <is>
          <t>Vendor</t>
        </is>
      </c>
      <c r="J1" s="2" t="inlineStr">
        <is>
          <t>Vendor URL</t>
        </is>
      </c>
      <c r="K1" s="2" t="inlineStr">
        <is>
          <t>Script Page</t>
        </is>
      </c>
      <c r="L1" s="2" t="inlineStr">
        <is>
          <t>Script Quote</t>
        </is>
      </c>
      <c r="M1" s="2" t="inlineStr">
        <is>
          <t>Notes</t>
        </is>
      </c>
      <c r="N1" s="2" t="inlineStr">
        <is>
          <t>Confidence</t>
        </is>
      </c>
      <c r="O1" s="2" t="inlineStr">
        <is>
          <t>Populated By</t>
        </is>
      </c>
    </row>
    <row r="2">
      <c r="A2" s="5" t="inlineStr">
        <is>
          <t>2300.01</t>
        </is>
      </c>
      <c r="B2" s="24" t="inlineStr">
        <is>
          <t>Period property research and graphic design — 1930s Los Angeles visual references</t>
        </is>
      </c>
      <c r="C2" s="5" t="n">
        <v>1</v>
      </c>
      <c r="D2" s="5" t="inlineStr">
        <is>
          <t>Allow</t>
        </is>
      </c>
      <c r="E2" s="31" t="n"/>
      <c r="F2" s="6">
        <f>IFERROR(C2*D2*E2,"")</f>
        <v/>
      </c>
      <c r="H2" s="6">
        <f>IFERROR(F2+(F2*G2),"")</f>
        <v/>
      </c>
      <c r="K2" s="32" t="n">
        <v>2</v>
      </c>
      <c r="L2" s="33" t="inlineStr">
        <is>
          <t>He looks cool and brisk in a white linen suit despite the heat.</t>
        </is>
      </c>
      <c r="M2" s="24" t="inlineStr">
        <is>
          <t>Full production set in 1930s Los Angeles. Art department research budget required for period-accurate dressing, signage, props, and wardrobe across all scenes. Ongoing throughout prep.</t>
        </is>
      </c>
      <c r="N2" s="34" t="inlineStr">
        <is>
          <t>High</t>
        </is>
      </c>
      <c r="O2" s="35" t="inlineStr">
        <is>
          <t>SCRIPT</t>
        </is>
      </c>
    </row>
    <row r="3">
      <c r="A3" s="5" t="inlineStr">
        <is>
          <t>2300.02</t>
        </is>
      </c>
      <c r="B3" s="24" t="inlineStr">
        <is>
          <t>Period signage fabrication — office door pebbled glass lettering 'J. J. GITTES and Associates. DISCREET INVESTIGATION'</t>
        </is>
      </c>
      <c r="C3" s="5" t="n">
        <v>1</v>
      </c>
      <c r="D3" s="5" t="inlineStr">
        <is>
          <t>Allow</t>
        </is>
      </c>
      <c r="E3" s="31" t="n"/>
      <c r="F3" s="6">
        <f>IFERROR(C3*D3*E3,"")</f>
        <v/>
      </c>
      <c r="H3" s="6">
        <f>IFERROR(F3+(F3*G3),"")</f>
        <v/>
      </c>
      <c r="K3" s="32" t="n">
        <v>4</v>
      </c>
      <c r="L3" s="33" t="inlineStr">
        <is>
          <t>on the pebbled glass can be read: 'J. J. GITTES and Associates. DISCREET INVESTIGATION'</t>
        </is>
      </c>
      <c r="M3" s="24" t="inlineStr">
        <is>
          <t>Period-accurate painted or etched lettering on pebbled glass door panel. Featured on camera — must be legible and period-correct. Coordinate with set construction.</t>
        </is>
      </c>
      <c r="N3" s="34" t="inlineStr">
        <is>
          <t>High</t>
        </is>
      </c>
      <c r="O3" s="35" t="inlineStr">
        <is>
          <t>SCRIPT</t>
        </is>
      </c>
    </row>
    <row r="4">
      <c r="A4" s="5" t="inlineStr">
        <is>
          <t>2300.03</t>
        </is>
      </c>
      <c r="B4" s="24" t="inlineStr">
        <is>
          <t>Oversized period map fabrication — 'PROPOSED ALTO VALLEJO DAM AND RESERVOIR' with overleaf graphics</t>
        </is>
      </c>
      <c r="C4" s="5" t="n">
        <v>1</v>
      </c>
      <c r="D4" s="5" t="inlineStr">
        <is>
          <t>Allow</t>
        </is>
      </c>
      <c r="E4" s="31" t="n"/>
      <c r="F4" s="6">
        <f>IFERROR(C4*D4*E4,"")</f>
        <v/>
      </c>
      <c r="H4" s="6">
        <f>IFERROR(F4+(F4*G4),"")</f>
        <v/>
      </c>
      <c r="K4" s="32" t="n">
        <v>7</v>
      </c>
      <c r="L4" s="33" t="inlineStr">
        <is>
          <t>a huge map, with overleafs and bold lettering: 'PROPOSED ALTO VALLEJO DAM AND RESERVOIR'</t>
        </is>
      </c>
      <c r="M4" s="24" t="inlineStr">
        <is>
          <t>Large-format period map featured prominently on camera in Council Chambers. Requires period-accurate cartographic and typographic style. Multiple overleaf layers described — may require hinged or layered physical construction. Hero prop consideration — see 2500.</t>
        </is>
      </c>
      <c r="N4" s="34" t="inlineStr">
        <is>
          <t>High</t>
        </is>
      </c>
      <c r="O4" s="35" t="inlineStr">
        <is>
          <t>SCRIPT</t>
        </is>
      </c>
    </row>
    <row r="5">
      <c r="A5" s="27" t="inlineStr">
        <is>
          <t>2300.04</t>
        </is>
      </c>
      <c r="B5" s="28" t="inlineStr">
        <is>
          <t>Construction Coordinator</t>
        </is>
      </c>
      <c r="C5" s="27" t="inlineStr">
        <is>
          <t>[DEAL]</t>
        </is>
      </c>
      <c r="D5" s="29" t="n"/>
      <c r="E5" s="29" t="n"/>
      <c r="F5" s="29" t="n"/>
      <c r="G5" s="29" t="n"/>
      <c r="H5" s="29" t="n"/>
      <c r="I5" s="29" t="n"/>
      <c r="J5" s="29" t="n"/>
      <c r="K5" s="29" t="n"/>
      <c r="L5" s="29" t="n"/>
      <c r="M5" s="29" t="n"/>
      <c r="N5" s="29" t="n"/>
      <c r="O5" s="30" t="inlineStr">
        <is>
          <t>DEAL</t>
        </is>
      </c>
    </row>
    <row r="6">
      <c r="A6" s="27" t="inlineStr">
        <is>
          <t>2300.05</t>
        </is>
      </c>
      <c r="B6" s="28" t="inlineStr">
        <is>
          <t>Construction labor</t>
        </is>
      </c>
      <c r="C6" s="27" t="inlineStr">
        <is>
          <t>[DEAL]</t>
        </is>
      </c>
      <c r="D6" s="29" t="n"/>
      <c r="E6" s="29" t="n"/>
      <c r="F6" s="29" t="n"/>
      <c r="G6" s="29" t="n"/>
      <c r="H6" s="29" t="n"/>
      <c r="I6" s="29" t="n"/>
      <c r="J6" s="29" t="n"/>
      <c r="K6" s="29" t="n"/>
      <c r="L6" s="29" t="n"/>
      <c r="M6" s="29" t="n"/>
      <c r="N6" s="29" t="n"/>
      <c r="O6" s="30" t="inlineStr">
        <is>
          <t>DEAL</t>
        </is>
      </c>
    </row>
    <row r="7">
      <c r="A7" s="27" t="inlineStr">
        <is>
          <t>2300.06</t>
        </is>
      </c>
      <c r="B7" s="28" t="inlineStr">
        <is>
          <t>Construction materials</t>
        </is>
      </c>
      <c r="C7" s="27" t="inlineStr">
        <is>
          <t>[DEAL]</t>
        </is>
      </c>
      <c r="D7" s="29" t="n"/>
      <c r="E7" s="29" t="n"/>
      <c r="F7" s="29" t="n"/>
      <c r="G7" s="29" t="n"/>
      <c r="H7" s="29" t="n"/>
      <c r="I7" s="29" t="n"/>
      <c r="J7" s="29" t="n"/>
      <c r="K7" s="29" t="n"/>
      <c r="L7" s="29" t="n"/>
      <c r="M7" s="29" t="n"/>
      <c r="N7" s="29" t="n"/>
      <c r="O7" s="30" t="inlineStr">
        <is>
          <t>DEAL</t>
        </is>
      </c>
    </row>
    <row r="8">
      <c r="A8" s="27" t="inlineStr">
        <is>
          <t>2300.07</t>
        </is>
      </c>
      <c r="B8" s="28" t="inlineStr">
        <is>
          <t>Stage / mill rental</t>
        </is>
      </c>
      <c r="C8" s="27" t="inlineStr">
        <is>
          <t>[DEAL]</t>
        </is>
      </c>
      <c r="D8" s="29" t="n"/>
      <c r="E8" s="29" t="n"/>
      <c r="F8" s="29" t="n"/>
      <c r="G8" s="29" t="n"/>
      <c r="H8" s="29" t="n"/>
      <c r="I8" s="29" t="n"/>
      <c r="J8" s="29" t="n"/>
      <c r="K8" s="29" t="n"/>
      <c r="L8" s="29" t="n"/>
      <c r="M8" s="29" t="n"/>
      <c r="N8" s="29" t="n"/>
      <c r="O8" s="30" t="inlineStr">
        <is>
          <t>DEAL</t>
        </is>
      </c>
    </row>
  </sheetData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0" customWidth="1" min="3" max="3"/>
    <col width="14" customWidth="1" min="4" max="4"/>
    <col width="12" customWidth="1" min="5" max="5"/>
    <col width="12" customWidth="1" min="6" max="6"/>
    <col width="10" customWidth="1" min="7" max="7"/>
    <col width="12" customWidth="1" min="8" max="8"/>
    <col width="20" customWidth="1" min="9" max="9"/>
    <col width="28" customWidth="1" min="10" max="10"/>
    <col width="11" customWidth="1" min="11" max="11"/>
    <col width="35" customWidth="1" min="12" max="12"/>
    <col width="35" customWidth="1" min="13" max="13"/>
    <col width="12" customWidth="1" min="14" max="14"/>
    <col width="14" customWidth="1" min="15" max="15"/>
  </cols>
  <sheetData>
    <row r="1">
      <c r="A1" s="2" t="inlineStr">
        <is>
          <t>Account No</t>
        </is>
      </c>
      <c r="B1" s="2" t="inlineStr">
        <is>
          <t>Description</t>
        </is>
      </c>
      <c r="C1" s="2" t="inlineStr">
        <is>
          <t>Amount</t>
        </is>
      </c>
      <c r="D1" s="2" t="inlineStr">
        <is>
          <t>Unit Type</t>
        </is>
      </c>
      <c r="E1" s="2" t="inlineStr">
        <is>
          <t>Rate</t>
        </is>
      </c>
      <c r="F1" s="2" t="inlineStr">
        <is>
          <t>Subtotal</t>
        </is>
      </c>
      <c r="G1" s="2" t="inlineStr">
        <is>
          <t>Fringe %</t>
        </is>
      </c>
      <c r="H1" s="2" t="inlineStr">
        <is>
          <t>Total</t>
        </is>
      </c>
      <c r="I1" s="2" t="inlineStr">
        <is>
          <t>Vendor</t>
        </is>
      </c>
      <c r="J1" s="2" t="inlineStr">
        <is>
          <t>Vendor URL</t>
        </is>
      </c>
      <c r="K1" s="2" t="inlineStr">
        <is>
          <t>Script Page</t>
        </is>
      </c>
      <c r="L1" s="2" t="inlineStr">
        <is>
          <t>Script Quote</t>
        </is>
      </c>
      <c r="M1" s="2" t="inlineStr">
        <is>
          <t>Notes</t>
        </is>
      </c>
      <c r="N1" s="2" t="inlineStr">
        <is>
          <t>Confidence</t>
        </is>
      </c>
      <c r="O1" s="2" t="inlineStr">
        <is>
          <t>Populated By</t>
        </is>
      </c>
    </row>
    <row r="2">
      <c r="A2" s="5" t="inlineStr">
        <is>
          <t>2400.01</t>
        </is>
      </c>
      <c r="B2" s="24" t="inlineStr">
        <is>
          <t>Set decoration — Gittes' office, period 1930s: desk, overhead fan, Venetian blinds, signed movie star photographs on walls</t>
        </is>
      </c>
      <c r="C2" s="5" t="n">
        <v>1</v>
      </c>
      <c r="D2" s="5" t="inlineStr">
        <is>
          <t>Allow</t>
        </is>
      </c>
      <c r="E2" s="31" t="n"/>
      <c r="F2" s="6">
        <f>IFERROR(C2*D2*E2,"")</f>
        <v/>
      </c>
      <c r="H2" s="6">
        <f>IFERROR(F2+(F2*G2),"")</f>
        <v/>
      </c>
      <c r="K2" s="32" t="n">
        <v>2</v>
      </c>
      <c r="L2" s="33" t="inlineStr">
        <is>
          <t>A fan whiffs overhead... its impact has sent the signed photos of several movie stars askew.</t>
        </is>
      </c>
      <c r="M2" s="24" t="inlineStr">
        <is>
          <t>Period 1930s. Overhead fan must be practical (operational). Signed celebrity photographs featured on camera — must be period-appropriate. Venetian blinds are interacted with by Curly (biting) — physical stunt consideration, coordinate with Props for breakaway blinds insert if required. Desk is principal set piece.</t>
        </is>
      </c>
      <c r="N2" s="34" t="inlineStr">
        <is>
          <t>High</t>
        </is>
      </c>
      <c r="O2" s="35" t="inlineStr">
        <is>
          <t>SCRIPT</t>
        </is>
      </c>
    </row>
    <row r="3">
      <c r="A3" s="5" t="inlineStr">
        <is>
          <t>2400.02</t>
        </is>
      </c>
      <c r="B3" s="24" t="inlineStr">
        <is>
          <t>Set decoration — Gittes' office: multiple whiskey bottles (expensive brands) and cheaper bourbon bottle on desk</t>
        </is>
      </c>
      <c r="C3" s="5" t="n">
        <v>1</v>
      </c>
      <c r="D3" s="5" t="inlineStr">
        <is>
          <t>Allow</t>
        </is>
      </c>
      <c r="E3" s="31" t="n"/>
      <c r="F3" s="6">
        <f>IFERROR(C3*D3*E3,"")</f>
        <v/>
      </c>
      <c r="H3" s="6">
        <f>IFERROR(F3+(F3*G3),"")</f>
        <v/>
      </c>
      <c r="K3" s="32" t="n">
        <v>2</v>
      </c>
      <c r="L3" s="33" t="inlineStr">
        <is>
          <t>quickly selects a cheaper bottle of bourbon from several fifths of more expensive whiskeys.</t>
        </is>
      </c>
      <c r="M3" s="24" t="inlineStr">
        <is>
          <t>Multiple period whiskey bottles visible on desk. Bourbon bottle and shot glass are handled by cast — those items should also appear in 2500. Background bottles for dressing only here. Check brand labels for clearance requirements (see 6200).</t>
        </is>
      </c>
      <c r="N3" s="34" t="inlineStr">
        <is>
          <t>High</t>
        </is>
      </c>
      <c r="O3" s="35" t="inlineStr">
        <is>
          <t>SCRIPT</t>
        </is>
      </c>
    </row>
    <row r="4">
      <c r="A4" s="5" t="inlineStr">
        <is>
          <t>2400.03</t>
        </is>
      </c>
      <c r="B4" s="24" t="inlineStr">
        <is>
          <t>Set decoration — Duffy &amp; Walsh's office, period 1930s: two desks, chairs, general office dressing, notably less plush than Gittes'</t>
        </is>
      </c>
      <c r="C4" s="5" t="n">
        <v>1</v>
      </c>
      <c r="D4" s="5" t="inlineStr">
        <is>
          <t>Allow</t>
        </is>
      </c>
      <c r="E4" s="31" t="n"/>
      <c r="F4" s="6">
        <f>IFERROR(C4*D4*E4,"")</f>
        <v/>
      </c>
      <c r="H4" s="6">
        <f>IFERROR(F4+(F4*G4),"")</f>
        <v/>
      </c>
      <c r="K4" s="32" t="n">
        <v>3</v>
      </c>
      <c r="L4" s="33" t="inlineStr">
        <is>
          <t>Noticeably less plush than Gitte's. A well-groomed, dark-haired WOMAN sits nervously between their two desks.</t>
        </is>
      </c>
      <c r="M4" s="24" t="inlineStr">
        <is>
          <t>Period 1930s. Two desks, chairs on both sides. General office dressing. Intentional contrast with Gittes' office — coordinate with set decorator on dressing level.</t>
        </is>
      </c>
      <c r="N4" s="34" t="inlineStr">
        <is>
          <t>High</t>
        </is>
      </c>
      <c r="O4" s="35" t="inlineStr">
        <is>
          <t>SCRIPT</t>
        </is>
      </c>
    </row>
    <row r="5">
      <c r="A5" s="5" t="inlineStr">
        <is>
          <t>2400.04</t>
        </is>
      </c>
      <c r="B5" s="24" t="inlineStr">
        <is>
          <t>Set decoration — office reception area: Sophie's desk, period waiting area dressing</t>
        </is>
      </c>
      <c r="C5" s="5" t="n">
        <v>1</v>
      </c>
      <c r="D5" s="5" t="inlineStr">
        <is>
          <t>Allow</t>
        </is>
      </c>
      <c r="E5" s="31" t="n"/>
      <c r="F5" s="6">
        <f>IFERROR(C5*D5*E5,"")</f>
        <v/>
      </c>
      <c r="H5" s="6">
        <f>IFERROR(F5+(F5*G5),"")</f>
        <v/>
      </c>
      <c r="K5" s="32" t="n">
        <v>4</v>
      </c>
      <c r="L5" s="33" t="inlineStr">
        <is>
          <t>He's now walking him past SOPHIE who pointedly averts her gaze.</t>
        </is>
      </c>
      <c r="M5" s="24" t="inlineStr">
        <is>
          <t>Period 1930s reception. Sophie's desk and period waiting-area dressing required.</t>
        </is>
      </c>
      <c r="N5" s="37" t="inlineStr">
        <is>
          <t>Medium</t>
        </is>
      </c>
      <c r="O5" s="35" t="inlineStr">
        <is>
          <t>SCRIPT</t>
        </is>
      </c>
    </row>
    <row r="6">
      <c r="A6" s="5" t="inlineStr">
        <is>
          <t>2400.05</t>
        </is>
      </c>
      <c r="B6" s="24" t="inlineStr">
        <is>
          <t>Set decoration — Council Chambers: period councilmen seating, desks, general civic interior dressing, funny papers and gossip columns on desks</t>
        </is>
      </c>
      <c r="C6" s="5" t="n">
        <v>1</v>
      </c>
      <c r="D6" s="5" t="inlineStr">
        <is>
          <t>Allow</t>
        </is>
      </c>
      <c r="E6" s="31" t="n"/>
      <c r="F6" s="6">
        <f>IFERROR(C6*D6*E6,"")</f>
        <v/>
      </c>
      <c r="H6" s="6">
        <f>IFERROR(F6+(F6*G6),"")</f>
        <v/>
      </c>
      <c r="K6" s="32" t="n">
        <v>7</v>
      </c>
      <c r="L6" s="33" t="inlineStr">
        <is>
          <t>Some of the councilmen are reading funny papers and gossip columns while Bagby is speaking.</t>
        </is>
      </c>
      <c r="M6" s="24" t="inlineStr">
        <is>
          <t>Period 1930s civic interior. Funny papers and gossip columns visible on desks — must be period-accurate facsimile publications. See 2500 if any are handled as featured props by cast.</t>
        </is>
      </c>
      <c r="N6" s="34" t="inlineStr">
        <is>
          <t>High</t>
        </is>
      </c>
      <c r="O6" s="35" t="inlineStr">
        <is>
          <t>SCRIPT</t>
        </is>
      </c>
    </row>
    <row r="7">
      <c r="A7" s="27" t="inlineStr">
        <is>
          <t>2400.06</t>
        </is>
      </c>
      <c r="B7" s="28" t="inlineStr">
        <is>
          <t>Set Decorator</t>
        </is>
      </c>
      <c r="C7" s="27" t="inlineStr">
        <is>
          <t>[DEAL]</t>
        </is>
      </c>
      <c r="D7" s="29" t="n"/>
      <c r="E7" s="29" t="n"/>
      <c r="F7" s="29" t="n"/>
      <c r="G7" s="29" t="n"/>
      <c r="H7" s="29" t="n"/>
      <c r="I7" s="29" t="n"/>
      <c r="J7" s="29" t="n"/>
      <c r="K7" s="29" t="n"/>
      <c r="L7" s="29" t="n"/>
      <c r="M7" s="29" t="n"/>
      <c r="N7" s="29" t="n"/>
      <c r="O7" s="30" t="inlineStr">
        <is>
          <t>DEAL</t>
        </is>
      </c>
    </row>
    <row r="8">
      <c r="A8" s="27" t="inlineStr">
        <is>
          <t>2400.07</t>
        </is>
      </c>
      <c r="B8" s="28" t="inlineStr">
        <is>
          <t>Swing Gang</t>
        </is>
      </c>
      <c r="C8" s="27" t="inlineStr">
        <is>
          <t>[DEAL]</t>
        </is>
      </c>
      <c r="D8" s="29" t="n"/>
      <c r="E8" s="29" t="n"/>
      <c r="F8" s="29" t="n"/>
      <c r="G8" s="29" t="n"/>
      <c r="H8" s="29" t="n"/>
      <c r="I8" s="29" t="n"/>
      <c r="J8" s="29" t="n"/>
      <c r="K8" s="29" t="n"/>
      <c r="L8" s="29" t="n"/>
      <c r="M8" s="29" t="n"/>
      <c r="N8" s="29" t="n"/>
      <c r="O8" s="30" t="inlineStr">
        <is>
          <t>DEAL</t>
        </is>
      </c>
    </row>
    <row r="9">
      <c r="A9" s="27" t="inlineStr">
        <is>
          <t>2400.08</t>
        </is>
      </c>
      <c r="B9" s="28" t="inlineStr">
        <is>
          <t>Set dressings — purchased</t>
        </is>
      </c>
      <c r="C9" s="27" t="inlineStr">
        <is>
          <t>[DEAL]</t>
        </is>
      </c>
      <c r="D9" s="29" t="n"/>
      <c r="E9" s="29" t="n"/>
      <c r="F9" s="29" t="n"/>
      <c r="G9" s="29" t="n"/>
      <c r="H9" s="29" t="n"/>
      <c r="I9" s="29" t="n"/>
      <c r="J9" s="29" t="n"/>
      <c r="K9" s="29" t="n"/>
      <c r="L9" s="29" t="n"/>
      <c r="M9" s="29" t="n"/>
      <c r="N9" s="29" t="n"/>
      <c r="O9" s="30" t="inlineStr">
        <is>
          <t>DEAL</t>
        </is>
      </c>
    </row>
    <row r="10">
      <c r="A10" s="27" t="inlineStr">
        <is>
          <t>2400.09</t>
        </is>
      </c>
      <c r="B10" s="28" t="inlineStr">
        <is>
          <t>Set dressings — rented</t>
        </is>
      </c>
      <c r="C10" s="27" t="inlineStr">
        <is>
          <t>[DEAL]</t>
        </is>
      </c>
      <c r="D10" s="29" t="n"/>
      <c r="E10" s="29" t="n"/>
      <c r="F10" s="29" t="n"/>
      <c r="G10" s="29" t="n"/>
      <c r="H10" s="29" t="n"/>
      <c r="I10" s="29" t="n"/>
      <c r="J10" s="29" t="n"/>
      <c r="K10" s="29" t="n"/>
      <c r="L10" s="29" t="n"/>
      <c r="M10" s="29" t="n"/>
      <c r="N10" s="29" t="n"/>
      <c r="O10" s="30" t="inlineStr">
        <is>
          <t>DEAL</t>
        </is>
      </c>
    </row>
    <row r="11">
      <c r="A11" s="27" t="inlineStr">
        <is>
          <t>2400.10</t>
        </is>
      </c>
      <c r="B11" s="28" t="inlineStr">
        <is>
          <t>Graphics / signage</t>
        </is>
      </c>
      <c r="C11" s="27" t="inlineStr">
        <is>
          <t>[DEAL]</t>
        </is>
      </c>
      <c r="D11" s="29" t="n"/>
      <c r="E11" s="29" t="n"/>
      <c r="F11" s="29" t="n"/>
      <c r="G11" s="29" t="n"/>
      <c r="H11" s="29" t="n"/>
      <c r="I11" s="29" t="n"/>
      <c r="J11" s="29" t="n"/>
      <c r="K11" s="29" t="n"/>
      <c r="L11" s="29" t="n"/>
      <c r="M11" s="29" t="n"/>
      <c r="N11" s="29" t="n"/>
      <c r="O11" s="30" t="inlineStr">
        <is>
          <t>DEAL</t>
        </is>
      </c>
    </row>
  </sheetData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0" customWidth="1" min="3" max="3"/>
    <col width="14" customWidth="1" min="4" max="4"/>
    <col width="12" customWidth="1" min="5" max="5"/>
    <col width="12" customWidth="1" min="6" max="6"/>
    <col width="10" customWidth="1" min="7" max="7"/>
    <col width="12" customWidth="1" min="8" max="8"/>
    <col width="20" customWidth="1" min="9" max="9"/>
    <col width="28" customWidth="1" min="10" max="10"/>
    <col width="11" customWidth="1" min="11" max="11"/>
    <col width="35" customWidth="1" min="12" max="12"/>
    <col width="35" customWidth="1" min="13" max="13"/>
    <col width="12" customWidth="1" min="14" max="14"/>
    <col width="14" customWidth="1" min="15" max="15"/>
  </cols>
  <sheetData>
    <row r="1">
      <c r="A1" s="2" t="inlineStr">
        <is>
          <t>Account No</t>
        </is>
      </c>
      <c r="B1" s="2" t="inlineStr">
        <is>
          <t>Description</t>
        </is>
      </c>
      <c r="C1" s="2" t="inlineStr">
        <is>
          <t>Amount</t>
        </is>
      </c>
      <c r="D1" s="2" t="inlineStr">
        <is>
          <t>Unit Type</t>
        </is>
      </c>
      <c r="E1" s="2" t="inlineStr">
        <is>
          <t>Rate</t>
        </is>
      </c>
      <c r="F1" s="2" t="inlineStr">
        <is>
          <t>Subtotal</t>
        </is>
      </c>
      <c r="G1" s="2" t="inlineStr">
        <is>
          <t>Fringe %</t>
        </is>
      </c>
      <c r="H1" s="2" t="inlineStr">
        <is>
          <t>Total</t>
        </is>
      </c>
      <c r="I1" s="2" t="inlineStr">
        <is>
          <t>Vendor</t>
        </is>
      </c>
      <c r="J1" s="2" t="inlineStr">
        <is>
          <t>Vendor URL</t>
        </is>
      </c>
      <c r="K1" s="2" t="inlineStr">
        <is>
          <t>Script Page</t>
        </is>
      </c>
      <c r="L1" s="2" t="inlineStr">
        <is>
          <t>Script Quote</t>
        </is>
      </c>
      <c r="M1" s="2" t="inlineStr">
        <is>
          <t>Notes</t>
        </is>
      </c>
      <c r="N1" s="2" t="inlineStr">
        <is>
          <t>Confidence</t>
        </is>
      </c>
      <c r="O1" s="2" t="inlineStr">
        <is>
          <t>Populated By</t>
        </is>
      </c>
    </row>
    <row r="2">
      <c r="A2" s="5" t="inlineStr">
        <is>
          <t>2500.01</t>
        </is>
      </c>
      <c r="B2" s="24" t="inlineStr">
        <is>
          <t>Surveillance photographs — grainy compromising photographs of man and woman, multiple prints handled on camera by Curly and Gittes</t>
        </is>
      </c>
      <c r="C2" s="5" t="n">
        <v>1</v>
      </c>
      <c r="D2" s="5" t="inlineStr">
        <is>
          <t>Allow</t>
        </is>
      </c>
      <c r="E2" s="31" t="n"/>
      <c r="F2" s="6">
        <f>IFERROR(C2*D2*E2,"")</f>
        <v/>
      </c>
      <c r="H2" s="6">
        <f>IFERROR(F2+(F2*G2),"")</f>
        <v/>
      </c>
      <c r="K2" s="32" t="n">
        <v>2</v>
      </c>
      <c r="L2" s="33" t="inlineStr">
        <is>
          <t>The photograph is dropped, REVEALING ANOTHER, MORE compromising one. Then another, and another.</t>
        </is>
      </c>
      <c r="M2" s="24" t="inlineStr">
        <is>
          <t>Multiple prints required for continuity — at least 4–6 distinct photographs described. Period photographic style required. Must be fabricated (not real). Handled extensively on camera by Curly and Gittes. Require multiples for dropped/handled continuity.</t>
        </is>
      </c>
      <c r="N2" s="34" t="inlineStr">
        <is>
          <t>High</t>
        </is>
      </c>
      <c r="O2" s="35" t="inlineStr">
        <is>
          <t>SCRIPT</t>
        </is>
      </c>
    </row>
    <row r="3">
      <c r="A3" s="5" t="inlineStr">
        <is>
          <t>2500.02</t>
        </is>
      </c>
      <c r="B3" s="24" t="inlineStr">
        <is>
          <t>Cigarette and period lighter with 'nail' — Gittes lights cigarette on camera using distinctive desk lighter</t>
        </is>
      </c>
      <c r="C3" s="5" t="n">
        <v>1</v>
      </c>
      <c r="D3" s="5" t="inlineStr">
        <is>
          <t>Allow</t>
        </is>
      </c>
      <c r="E3" s="31" t="n"/>
      <c r="F3" s="6">
        <f>IFERROR(C3*D3*E3,"")</f>
        <v/>
      </c>
      <c r="H3" s="6">
        <f>IFERROR(F3+(F3*G3),"")</f>
        <v/>
      </c>
      <c r="K3" s="32" t="n">
        <v>2</v>
      </c>
      <c r="L3" s="33" t="inlineStr">
        <is>
          <t>he lights a cigarette using a lighter with a 'nail' on his desk.</t>
        </is>
      </c>
      <c r="M3" s="24" t="inlineStr">
        <is>
          <t>Period lighter with distinctive 'nail' feature — handled on camera by Gittes. Hero prop consideration due to featured close-up implied. Multiple cigarettes required for continuity across takes. Coordinate with art department on period lighter sourcing.</t>
        </is>
      </c>
      <c r="N3" s="34" t="inlineStr">
        <is>
          <t>High</t>
        </is>
      </c>
      <c r="O3" s="35" t="inlineStr">
        <is>
          <t>SCRIPT</t>
        </is>
      </c>
    </row>
    <row r="4">
      <c r="A4" s="5" t="inlineStr">
        <is>
          <t>2500.03</t>
        </is>
      </c>
      <c r="B4" s="24" t="inlineStr">
        <is>
          <t>Shot glass — handled and drunk from on camera by Curly</t>
        </is>
      </c>
      <c r="C4" s="5" t="n">
        <v>3</v>
      </c>
      <c r="D4" s="5" t="inlineStr">
        <is>
          <t>Purchase</t>
        </is>
      </c>
      <c r="E4" s="31" t="n"/>
      <c r="F4" s="6">
        <f>IFERROR(C4*D4*E4,"")</f>
        <v/>
      </c>
      <c r="H4" s="6">
        <f>IFERROR(F4+(F4*G4),"")</f>
        <v/>
      </c>
      <c r="K4" s="32" t="n">
        <v>2</v>
      </c>
      <c r="L4" s="33" t="inlineStr">
        <is>
          <t>Gittes reaches into his desk and pulls out a shot glass... Curly stares dumbly at it. Then picks it up, and drains it.</t>
        </is>
      </c>
      <c r="M4" s="24" t="inlineStr">
        <is>
          <t>Period shot glass handled and drunk from on camera. Multiple units for continuity. Period-accurate glassware required.</t>
        </is>
      </c>
      <c r="N4" s="34" t="inlineStr">
        <is>
          <t>High</t>
        </is>
      </c>
      <c r="O4" s="35" t="inlineStr">
        <is>
          <t>SCRIPT</t>
        </is>
      </c>
    </row>
    <row r="5">
      <c r="A5" s="5" t="inlineStr">
        <is>
          <t>2500.04</t>
        </is>
      </c>
      <c r="B5" s="24" t="inlineStr">
        <is>
          <t>Bourbon bottle — cheaper bourbon bottle handled on camera by Gittes, poured and consumed by Curly</t>
        </is>
      </c>
      <c r="C5" s="5" t="n">
        <v>3</v>
      </c>
      <c r="D5" s="5" t="inlineStr">
        <is>
          <t>Purchase</t>
        </is>
      </c>
      <c r="E5" s="31" t="n"/>
      <c r="F5" s="6">
        <f>IFERROR(C5*D5*E5,"")</f>
        <v/>
      </c>
      <c r="H5" s="6">
        <f>IFERROR(F5+(F5*G5),"")</f>
        <v/>
      </c>
      <c r="K5" s="32" t="n">
        <v>2</v>
      </c>
      <c r="L5" s="33" t="inlineStr">
        <is>
          <t>quickly selects a cheaper bottle of bourbon from several fifths of more expensive whiskeys. Gittes pours a large shot.</t>
        </is>
      </c>
      <c r="M5" s="24" t="inlineStr">
        <is>
          <t>Period bourbon bottle handled on camera by Gittes and Curly. Multiple units for continuity. Check label branding — if real brand visible on camera, clearance required in 6200. Consider non-alcoholic stand-in for cast safety.</t>
        </is>
      </c>
      <c r="N5" s="34" t="inlineStr">
        <is>
          <t>High</t>
        </is>
      </c>
      <c r="O5" s="35" t="inlineStr">
        <is>
          <t>SCRIPT</t>
        </is>
      </c>
    </row>
    <row r="6">
      <c r="A6" s="5" t="inlineStr">
        <is>
          <t>2500.05</t>
        </is>
      </c>
      <c r="B6" s="24" t="inlineStr">
        <is>
          <t>Breakaway Venetian blinds — Curly bites into and physically interacts with blinds on camera</t>
        </is>
      </c>
      <c r="C6" s="5" t="n">
        <v>3</v>
      </c>
      <c r="D6" s="5" t="inlineStr">
        <is>
          <t>Purchase</t>
        </is>
      </c>
      <c r="E6" s="31" t="n"/>
      <c r="F6" s="6">
        <f>IFERROR(C6*D6*E6,"")</f>
        <v/>
      </c>
      <c r="H6" s="6">
        <f>IFERROR(F6+(F6*G6),"")</f>
        <v/>
      </c>
      <c r="K6" s="32" t="n">
        <v>2</v>
      </c>
      <c r="L6" s="33" t="inlineStr">
        <is>
          <t>he actually bites into the blinds.</t>
        </is>
      </c>
      <c r="M6" s="24" t="inlineStr">
        <is>
          <t>Curly bites into Venetian blinds on camera. Requires multiples for safety and continuity — minimum 3 units. Must be confirmed food-safe/non-toxic material if cast member's mouth contacts prop. Coordinate with set decoration for matching replacement units.</t>
        </is>
      </c>
      <c r="N6" s="34" t="inlineStr">
        <is>
          <t>High</t>
        </is>
      </c>
      <c r="O6" s="35" t="inlineStr">
        <is>
          <t>SCRIPT</t>
        </is>
      </c>
    </row>
    <row r="7">
      <c r="A7" s="5" t="inlineStr">
        <is>
          <t>2500.06</t>
        </is>
      </c>
      <c r="B7" s="24" t="inlineStr">
        <is>
          <t>Handkerchief — Gittes wipes perspiration from desk on camera</t>
        </is>
      </c>
      <c r="C7" s="5" t="n">
        <v>2</v>
      </c>
      <c r="D7" s="5" t="inlineStr">
        <is>
          <t>Purchase</t>
        </is>
      </c>
      <c r="E7" s="31" t="n"/>
      <c r="F7" s="6">
        <f>IFERROR(C7*D7*E7,"")</f>
        <v/>
      </c>
      <c r="H7" s="6">
        <f>IFERROR(F7+(F7*G7),"")</f>
        <v/>
      </c>
      <c r="K7" s="32" t="n">
        <v>3</v>
      </c>
      <c r="L7" s="33" t="inlineStr">
        <is>
          <t>Gittes takes a handkerchief and wipes away the plunk of perspiration on his desk.</t>
        </is>
      </c>
      <c r="M7" s="24" t="inlineStr">
        <is>
          <t>Period handkerchief handled on camera by Gittes. Multiple units for continuity. Period-appropriate style.</t>
        </is>
      </c>
      <c r="N7" s="34" t="inlineStr">
        <is>
          <t>High</t>
        </is>
      </c>
      <c r="O7" s="35" t="inlineStr">
        <is>
          <t>SCRIPT</t>
        </is>
      </c>
    </row>
    <row r="8">
      <c r="A8" s="5" t="inlineStr">
        <is>
          <t>2500.07</t>
        </is>
      </c>
      <c r="B8" s="24" t="inlineStr">
        <is>
          <t>Hero prop — large-format period map 'PROPOSED ALTO VALLEJO DAM AND RESERVOIR' with overleaf overlays, featured in Council Chambers</t>
        </is>
      </c>
      <c r="C8" s="5" t="n">
        <v>2</v>
      </c>
      <c r="D8" s="5" t="inlineStr">
        <is>
          <t>Purchase</t>
        </is>
      </c>
      <c r="E8" s="31" t="n"/>
      <c r="F8" s="6">
        <f>IFERROR(C8*D8*E8,"")</f>
        <v/>
      </c>
      <c r="H8" s="6">
        <f>IFERROR(F8+(F8*G8),"")</f>
        <v/>
      </c>
      <c r="K8" s="32" t="n">
        <v>7</v>
      </c>
      <c r="L8" s="33" t="inlineStr">
        <is>
          <t>Behind him is a huge map, with overleafs and bold lettering: 'PROPOSED ALTO VALLEJO DAM AND RESERVOIR'</t>
        </is>
      </c>
      <c r="M8" s="24" t="inlineStr">
        <is>
          <t>Hero prop — featured prominently on camera, central to scene's political exposition. Large-format map with layered overleaf overlays described. Period-accurate cartographic design required. Coordinate with Art Dept (2300) for fabrication. Minimum 2 units — hero display + backup.</t>
        </is>
      </c>
      <c r="N8" s="34" t="inlineStr">
        <is>
          <t>High</t>
        </is>
      </c>
      <c r="O8" s="35" t="inlineStr">
        <is>
          <t>SCRIPT</t>
        </is>
      </c>
    </row>
    <row r="9">
      <c r="A9" s="5" t="inlineStr">
        <is>
          <t>2500.08</t>
        </is>
      </c>
      <c r="B9" s="24" t="inlineStr">
        <is>
          <t>Period newspapers / funny papers and gossip columns — handled on camera by councilmen</t>
        </is>
      </c>
      <c r="C9" s="5" t="n">
        <v>6</v>
      </c>
      <c r="D9" s="5" t="inlineStr">
        <is>
          <t>Purchase</t>
        </is>
      </c>
      <c r="E9" s="31" t="n"/>
      <c r="F9" s="6">
        <f>IFERROR(C9*D9*E9,"")</f>
        <v/>
      </c>
      <c r="H9" s="6">
        <f>IFERROR(F9+(F9*G9),"")</f>
        <v/>
      </c>
      <c r="K9" s="32" t="n">
        <v>7</v>
      </c>
      <c r="L9" s="33" t="inlineStr">
        <is>
          <t>Some of the councilmen are reading funny papers and gossip columns while Bagby is speaking.</t>
        </is>
      </c>
      <c r="M9" s="24" t="inlineStr">
        <is>
          <t>Period 1930s newspaper facsimiles required — funny papers (comic strips) and gossip column pages. Multiple copies for multiple councilmen and continuity. Must be period-accurate fabrications. Quantity estimated based on number of councilmen implied; confirm with director.</t>
        </is>
      </c>
      <c r="N9" s="37" t="inlineStr">
        <is>
          <t>Medium</t>
        </is>
      </c>
      <c r="O9" s="35" t="inlineStr">
        <is>
          <t>SCRIPT</t>
        </is>
      </c>
    </row>
    <row r="10">
      <c r="A10" s="5" t="inlineStr">
        <is>
          <t>2500.09</t>
        </is>
      </c>
      <c r="B10" s="24" t="inlineStr">
        <is>
          <t>Wastebasket — kicked on camera by Curly during emotional outburst</t>
        </is>
      </c>
      <c r="C10" s="5" t="n">
        <v>2</v>
      </c>
      <c r="D10" s="5" t="inlineStr">
        <is>
          <t>Purchase</t>
        </is>
      </c>
      <c r="E10" s="31" t="n"/>
      <c r="F10" s="6">
        <f>IFERROR(C10*D10*E10,"")</f>
        <v/>
      </c>
      <c r="H10" s="6">
        <f>IFERROR(F10+(F10*G10),"")</f>
        <v/>
      </c>
      <c r="K10" s="32" t="n">
        <v>2</v>
      </c>
      <c r="L10" s="33" t="inlineStr">
        <is>
          <t>turns and rams his fist into the wall, kicking the wastebasket as he does.</t>
        </is>
      </c>
      <c r="M10" s="24" t="inlineStr">
        <is>
          <t>Wastebasket kicked on camera by Curly. Period-appropriate style. Multiple units for continuity in case of damage.</t>
        </is>
      </c>
      <c r="N10" s="34" t="inlineStr">
        <is>
          <t>High</t>
        </is>
      </c>
      <c r="O10" s="35" t="inlineStr">
        <is>
          <t>SCRIPT</t>
        </is>
      </c>
    </row>
    <row r="11">
      <c r="A11" s="5" t="inlineStr">
        <is>
          <t>2500.10</t>
        </is>
      </c>
      <c r="B11" s="24" t="inlineStr">
        <is>
          <t>Mrs. Mulwray's handbag — featured on camera, inspected closely by Gittes</t>
        </is>
      </c>
      <c r="C11" s="5" t="n">
        <v>2</v>
      </c>
      <c r="D11" s="5" t="inlineStr">
        <is>
          <t>Purchase</t>
        </is>
      </c>
      <c r="E11" s="31" t="n"/>
      <c r="F11" s="6">
        <f>IFERROR(C11*D11*E11,"")</f>
        <v/>
      </c>
      <c r="H11" s="6">
        <f>IFERROR(F11+(F11*G11),"")</f>
        <v/>
      </c>
      <c r="K11" s="32" t="n">
        <v>6</v>
      </c>
      <c r="L11" s="33" t="inlineStr">
        <is>
          <t>Gittes is now casually but carefully checking out the detailing of Mrs. Mulwray's dress – her handbag, shoes, etc.</t>
        </is>
      </c>
      <c r="M11" s="24" t="inlineStr">
        <is>
          <t>Handbag receives focused on-camera attention from Gittes as character detail. Period 1930s style required. Coordinate with Wardrobe — item straddles costume/prop boundary; assign to Props for consistency of handling on set.</t>
        </is>
      </c>
      <c r="N11" s="37" t="inlineStr">
        <is>
          <t>Medium</t>
        </is>
      </c>
      <c r="O11" s="35" t="inlineStr">
        <is>
          <t>SCRIPT</t>
        </is>
      </c>
    </row>
    <row r="12">
      <c r="A12" s="27" t="inlineStr">
        <is>
          <t>2500.11</t>
        </is>
      </c>
      <c r="B12" s="28" t="inlineStr">
        <is>
          <t>Property Master</t>
        </is>
      </c>
      <c r="C12" s="27" t="inlineStr">
        <is>
          <t>[DEAL]</t>
        </is>
      </c>
      <c r="D12" s="29" t="n"/>
      <c r="E12" s="29" t="n"/>
      <c r="F12" s="29" t="n"/>
      <c r="G12" s="29" t="n"/>
      <c r="H12" s="29" t="n"/>
      <c r="I12" s="29" t="n"/>
      <c r="J12" s="29" t="n"/>
      <c r="K12" s="29" t="n"/>
      <c r="L12" s="29" t="n"/>
      <c r="M12" s="29" t="n"/>
      <c r="N12" s="29" t="n"/>
      <c r="O12" s="30" t="inlineStr">
        <is>
          <t>DEAL</t>
        </is>
      </c>
    </row>
    <row r="13">
      <c r="A13" s="27" t="inlineStr">
        <is>
          <t>2500.12</t>
        </is>
      </c>
      <c r="B13" s="28" t="inlineStr">
        <is>
          <t>Assistant Property Master</t>
        </is>
      </c>
      <c r="C13" s="27" t="inlineStr">
        <is>
          <t>[DEAL]</t>
        </is>
      </c>
      <c r="D13" s="29" t="n"/>
      <c r="E13" s="29" t="n"/>
      <c r="F13" s="29" t="n"/>
      <c r="G13" s="29" t="n"/>
      <c r="H13" s="29" t="n"/>
      <c r="I13" s="29" t="n"/>
      <c r="J13" s="29" t="n"/>
      <c r="K13" s="29" t="n"/>
      <c r="L13" s="29" t="n"/>
      <c r="M13" s="29" t="n"/>
      <c r="N13" s="29" t="n"/>
      <c r="O13" s="30" t="inlineStr">
        <is>
          <t>DEAL</t>
        </is>
      </c>
    </row>
    <row r="14">
      <c r="A14" s="27" t="inlineStr">
        <is>
          <t>2500.13</t>
        </is>
      </c>
      <c r="B14" s="28" t="inlineStr">
        <is>
          <t>Prop rentals</t>
        </is>
      </c>
      <c r="C14" s="27" t="inlineStr">
        <is>
          <t>[DEAL]</t>
        </is>
      </c>
      <c r="D14" s="29" t="n"/>
      <c r="E14" s="29" t="n"/>
      <c r="F14" s="29" t="n"/>
      <c r="G14" s="29" t="n"/>
      <c r="H14" s="29" t="n"/>
      <c r="I14" s="29" t="n"/>
      <c r="J14" s="29" t="n"/>
      <c r="K14" s="29" t="n"/>
      <c r="L14" s="29" t="n"/>
      <c r="M14" s="29" t="n"/>
      <c r="N14" s="29" t="n"/>
      <c r="O14" s="30" t="inlineStr">
        <is>
          <t>DEAL</t>
        </is>
      </c>
    </row>
    <row r="15">
      <c r="A15" s="27" t="inlineStr">
        <is>
          <t>2500.14</t>
        </is>
      </c>
      <c r="B15" s="28" t="inlineStr">
        <is>
          <t>Prop purchases</t>
        </is>
      </c>
      <c r="C15" s="27" t="inlineStr">
        <is>
          <t>[DEAL]</t>
        </is>
      </c>
      <c r="D15" s="29" t="n"/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30" t="inlineStr">
        <is>
          <t>DEAL</t>
        </is>
      </c>
    </row>
  </sheetData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0" customWidth="1" min="3" max="3"/>
    <col width="14" customWidth="1" min="4" max="4"/>
    <col width="12" customWidth="1" min="5" max="5"/>
    <col width="12" customWidth="1" min="6" max="6"/>
    <col width="10" customWidth="1" min="7" max="7"/>
    <col width="12" customWidth="1" min="8" max="8"/>
    <col width="20" customWidth="1" min="9" max="9"/>
    <col width="28" customWidth="1" min="10" max="10"/>
    <col width="11" customWidth="1" min="11" max="11"/>
    <col width="35" customWidth="1" min="12" max="12"/>
    <col width="35" customWidth="1" min="13" max="13"/>
    <col width="12" customWidth="1" min="14" max="14"/>
    <col width="14" customWidth="1" min="15" max="15"/>
  </cols>
  <sheetData>
    <row r="1">
      <c r="A1" s="2" t="inlineStr">
        <is>
          <t>Account No</t>
        </is>
      </c>
      <c r="B1" s="2" t="inlineStr">
        <is>
          <t>Description</t>
        </is>
      </c>
      <c r="C1" s="2" t="inlineStr">
        <is>
          <t>Amount</t>
        </is>
      </c>
      <c r="D1" s="2" t="inlineStr">
        <is>
          <t>Unit Type</t>
        </is>
      </c>
      <c r="E1" s="2" t="inlineStr">
        <is>
          <t>Rate</t>
        </is>
      </c>
      <c r="F1" s="2" t="inlineStr">
        <is>
          <t>Subtotal</t>
        </is>
      </c>
      <c r="G1" s="2" t="inlineStr">
        <is>
          <t>Fringe %</t>
        </is>
      </c>
      <c r="H1" s="2" t="inlineStr">
        <is>
          <t>Total</t>
        </is>
      </c>
      <c r="I1" s="2" t="inlineStr">
        <is>
          <t>Vendor</t>
        </is>
      </c>
      <c r="J1" s="2" t="inlineStr">
        <is>
          <t>Vendor URL</t>
        </is>
      </c>
      <c r="K1" s="2" t="inlineStr">
        <is>
          <t>Script Page</t>
        </is>
      </c>
      <c r="L1" s="2" t="inlineStr">
        <is>
          <t>Script Quote</t>
        </is>
      </c>
      <c r="M1" s="2" t="inlineStr">
        <is>
          <t>Notes</t>
        </is>
      </c>
      <c r="N1" s="2" t="inlineStr">
        <is>
          <t>Confidence</t>
        </is>
      </c>
      <c r="O1" s="2" t="inlineStr">
        <is>
          <t>Populated By</t>
        </is>
      </c>
    </row>
    <row r="2">
      <c r="A2" s="27" t="inlineStr">
        <is>
          <t>2600.01</t>
        </is>
      </c>
      <c r="B2" s="28" t="inlineStr">
        <is>
          <t>Director of Photography</t>
        </is>
      </c>
      <c r="C2" s="27" t="inlineStr">
        <is>
          <t>[DEAL]</t>
        </is>
      </c>
      <c r="D2" s="29" t="n"/>
      <c r="E2" s="29" t="n"/>
      <c r="F2" s="29" t="n"/>
      <c r="G2" s="29" t="n"/>
      <c r="H2" s="29" t="n"/>
      <c r="I2" s="29" t="n"/>
      <c r="J2" s="29" t="n"/>
      <c r="K2" s="29" t="n"/>
      <c r="L2" s="29" t="n"/>
      <c r="M2" s="29" t="n"/>
      <c r="N2" s="29" t="n"/>
      <c r="O2" s="30" t="inlineStr">
        <is>
          <t>DEAL</t>
        </is>
      </c>
    </row>
    <row r="3">
      <c r="A3" s="27" t="inlineStr">
        <is>
          <t>2600.02</t>
        </is>
      </c>
      <c r="B3" s="28" t="inlineStr">
        <is>
          <t>Camera Operator</t>
        </is>
      </c>
      <c r="C3" s="27" t="inlineStr">
        <is>
          <t>[DEAL]</t>
        </is>
      </c>
      <c r="D3" s="29" t="n"/>
      <c r="E3" s="29" t="n"/>
      <c r="F3" s="29" t="n"/>
      <c r="G3" s="29" t="n"/>
      <c r="H3" s="29" t="n"/>
      <c r="I3" s="29" t="n"/>
      <c r="J3" s="29" t="n"/>
      <c r="K3" s="29" t="n"/>
      <c r="L3" s="29" t="n"/>
      <c r="M3" s="29" t="n"/>
      <c r="N3" s="29" t="n"/>
      <c r="O3" s="30" t="inlineStr">
        <is>
          <t>DEAL</t>
        </is>
      </c>
    </row>
    <row r="4">
      <c r="A4" s="27" t="inlineStr">
        <is>
          <t>2600.03</t>
        </is>
      </c>
      <c r="B4" s="28" t="inlineStr">
        <is>
          <t>1st AC / Focus Puller</t>
        </is>
      </c>
      <c r="C4" s="27" t="inlineStr">
        <is>
          <t>[DEAL]</t>
        </is>
      </c>
      <c r="D4" s="29" t="n"/>
      <c r="E4" s="29" t="n"/>
      <c r="F4" s="29" t="n"/>
      <c r="G4" s="29" t="n"/>
      <c r="H4" s="29" t="n"/>
      <c r="I4" s="29" t="n"/>
      <c r="J4" s="29" t="n"/>
      <c r="K4" s="29" t="n"/>
      <c r="L4" s="29" t="n"/>
      <c r="M4" s="29" t="n"/>
      <c r="N4" s="29" t="n"/>
      <c r="O4" s="30" t="inlineStr">
        <is>
          <t>DEAL</t>
        </is>
      </c>
    </row>
    <row r="5">
      <c r="A5" s="27" t="inlineStr">
        <is>
          <t>2600.04</t>
        </is>
      </c>
      <c r="B5" s="28" t="inlineStr">
        <is>
          <t>2nd AC / Loader</t>
        </is>
      </c>
      <c r="C5" s="27" t="inlineStr">
        <is>
          <t>[DEAL]</t>
        </is>
      </c>
      <c r="D5" s="29" t="n"/>
      <c r="E5" s="29" t="n"/>
      <c r="F5" s="29" t="n"/>
      <c r="G5" s="29" t="n"/>
      <c r="H5" s="29" t="n"/>
      <c r="I5" s="29" t="n"/>
      <c r="J5" s="29" t="n"/>
      <c r="K5" s="29" t="n"/>
      <c r="L5" s="29" t="n"/>
      <c r="M5" s="29" t="n"/>
      <c r="N5" s="29" t="n"/>
      <c r="O5" s="30" t="inlineStr">
        <is>
          <t>DEAL</t>
        </is>
      </c>
    </row>
    <row r="6">
      <c r="A6" s="27" t="inlineStr">
        <is>
          <t>2600.05</t>
        </is>
      </c>
      <c r="B6" s="28" t="inlineStr">
        <is>
          <t>Main Camera Package</t>
        </is>
      </c>
      <c r="C6" s="27" t="inlineStr">
        <is>
          <t>[DEAL]</t>
        </is>
      </c>
      <c r="D6" s="29" t="n"/>
      <c r="E6" s="29" t="n"/>
      <c r="F6" s="29" t="n"/>
      <c r="G6" s="29" t="n"/>
      <c r="H6" s="29" t="n"/>
      <c r="I6" s="29" t="n"/>
      <c r="J6" s="29" t="n"/>
      <c r="K6" s="29" t="n"/>
      <c r="L6" s="29" t="n"/>
      <c r="M6" s="29" t="n"/>
      <c r="N6" s="29" t="n"/>
      <c r="O6" s="30" t="inlineStr">
        <is>
          <t>DEAL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0" customWidth="1" min="3" max="3"/>
    <col width="14" customWidth="1" min="4" max="4"/>
    <col width="12" customWidth="1" min="5" max="5"/>
    <col width="12" customWidth="1" min="6" max="6"/>
    <col width="10" customWidth="1" min="7" max="7"/>
    <col width="12" customWidth="1" min="8" max="8"/>
    <col width="20" customWidth="1" min="9" max="9"/>
    <col width="28" customWidth="1" min="10" max="10"/>
    <col width="11" customWidth="1" min="11" max="11"/>
    <col width="35" customWidth="1" min="12" max="12"/>
    <col width="35" customWidth="1" min="13" max="13"/>
    <col width="12" customWidth="1" min="14" max="14"/>
    <col width="14" customWidth="1" min="15" max="15"/>
  </cols>
  <sheetData>
    <row r="1">
      <c r="A1" s="2" t="inlineStr">
        <is>
          <t>Account No</t>
        </is>
      </c>
      <c r="B1" s="2" t="inlineStr">
        <is>
          <t>Description</t>
        </is>
      </c>
      <c r="C1" s="2" t="inlineStr">
        <is>
          <t>Amount</t>
        </is>
      </c>
      <c r="D1" s="2" t="inlineStr">
        <is>
          <t>Unit Type</t>
        </is>
      </c>
      <c r="E1" s="2" t="inlineStr">
        <is>
          <t>Rate</t>
        </is>
      </c>
      <c r="F1" s="2" t="inlineStr">
        <is>
          <t>Subtotal</t>
        </is>
      </c>
      <c r="G1" s="2" t="inlineStr">
        <is>
          <t>Fringe %</t>
        </is>
      </c>
      <c r="H1" s="2" t="inlineStr">
        <is>
          <t>Total</t>
        </is>
      </c>
      <c r="I1" s="2" t="inlineStr">
        <is>
          <t>Vendor</t>
        </is>
      </c>
      <c r="J1" s="2" t="inlineStr">
        <is>
          <t>Vendor URL</t>
        </is>
      </c>
      <c r="K1" s="2" t="inlineStr">
        <is>
          <t>Script Page</t>
        </is>
      </c>
      <c r="L1" s="2" t="inlineStr">
        <is>
          <t>Script Quote</t>
        </is>
      </c>
      <c r="M1" s="2" t="inlineStr">
        <is>
          <t>Notes</t>
        </is>
      </c>
      <c r="N1" s="2" t="inlineStr">
        <is>
          <t>Confidence</t>
        </is>
      </c>
      <c r="O1" s="2" t="inlineStr">
        <is>
          <t>Populated By</t>
        </is>
      </c>
    </row>
    <row r="2">
      <c r="A2" s="5" t="inlineStr">
        <is>
          <t>2700.01</t>
        </is>
      </c>
      <c r="B2" s="24" t="inlineStr">
        <is>
          <t>Practical overhead fan — period ceiling fan, Gittes' office</t>
        </is>
      </c>
      <c r="C2" s="5" t="n">
        <v>1</v>
      </c>
      <c r="D2" s="5" t="inlineStr">
        <is>
          <t>Rental-Day</t>
        </is>
      </c>
      <c r="E2" s="31" t="n"/>
      <c r="F2" s="6">
        <f>IFERROR(C2*D2*E2,"")</f>
        <v/>
      </c>
      <c r="H2" s="6">
        <f>IFERROR(F2+(F2*G2),"")</f>
        <v/>
      </c>
      <c r="K2" s="32" t="n">
        <v>2</v>
      </c>
      <c r="L2" s="33" t="inlineStr">
        <is>
          <t>A fan whiffs overhead.</t>
        </is>
      </c>
      <c r="M2" s="24" t="inlineStr">
        <is>
          <t>Practical period fan required as scripted set dressing with functional movement on camera. Confirm if practical electrical rigging needed.</t>
        </is>
      </c>
      <c r="N2" s="34" t="inlineStr">
        <is>
          <t>High</t>
        </is>
      </c>
      <c r="O2" s="35" t="inlineStr">
        <is>
          <t>SCRIPT</t>
        </is>
      </c>
    </row>
    <row r="3">
      <c r="A3" s="27" t="inlineStr">
        <is>
          <t>2700.02</t>
        </is>
      </c>
      <c r="B3" s="28" t="inlineStr">
        <is>
          <t>Gaffer</t>
        </is>
      </c>
      <c r="C3" s="27" t="inlineStr">
        <is>
          <t>[DEAL]</t>
        </is>
      </c>
      <c r="D3" s="29" t="n"/>
      <c r="E3" s="29" t="n"/>
      <c r="F3" s="29" t="n"/>
      <c r="G3" s="29" t="n"/>
      <c r="H3" s="29" t="n"/>
      <c r="I3" s="29" t="n"/>
      <c r="J3" s="29" t="n"/>
      <c r="K3" s="29" t="n"/>
      <c r="L3" s="29" t="n"/>
      <c r="M3" s="29" t="n"/>
      <c r="N3" s="29" t="n"/>
      <c r="O3" s="30" t="inlineStr">
        <is>
          <t>DEAL</t>
        </is>
      </c>
    </row>
    <row r="4">
      <c r="A4" s="27" t="inlineStr">
        <is>
          <t>2700.03</t>
        </is>
      </c>
      <c r="B4" s="28" t="inlineStr">
        <is>
          <t>Best Boy Electric</t>
        </is>
      </c>
      <c r="C4" s="27" t="inlineStr">
        <is>
          <t>[DEAL]</t>
        </is>
      </c>
      <c r="D4" s="29" t="n"/>
      <c r="E4" s="29" t="n"/>
      <c r="F4" s="29" t="n"/>
      <c r="G4" s="29" t="n"/>
      <c r="H4" s="29" t="n"/>
      <c r="I4" s="29" t="n"/>
      <c r="J4" s="29" t="n"/>
      <c r="K4" s="29" t="n"/>
      <c r="L4" s="29" t="n"/>
      <c r="M4" s="29" t="n"/>
      <c r="N4" s="29" t="n"/>
      <c r="O4" s="30" t="inlineStr">
        <is>
          <t>DEAL</t>
        </is>
      </c>
    </row>
    <row r="5">
      <c r="A5" s="27" t="inlineStr">
        <is>
          <t>2700.04</t>
        </is>
      </c>
      <c r="B5" s="28" t="inlineStr">
        <is>
          <t>Electricians</t>
        </is>
      </c>
      <c r="C5" s="27" t="inlineStr">
        <is>
          <t>[DEAL]</t>
        </is>
      </c>
      <c r="D5" s="29" t="n"/>
      <c r="E5" s="29" t="n"/>
      <c r="F5" s="29" t="n"/>
      <c r="G5" s="29" t="n"/>
      <c r="H5" s="29" t="n"/>
      <c r="I5" s="29" t="n"/>
      <c r="J5" s="29" t="n"/>
      <c r="K5" s="29" t="n"/>
      <c r="L5" s="29" t="n"/>
      <c r="M5" s="29" t="n"/>
      <c r="N5" s="29" t="n"/>
      <c r="O5" s="30" t="inlineStr">
        <is>
          <t>DEAL</t>
        </is>
      </c>
    </row>
    <row r="6">
      <c r="A6" s="27" t="inlineStr">
        <is>
          <t>2700.05</t>
        </is>
      </c>
      <c r="B6" s="28" t="inlineStr">
        <is>
          <t>Lighting Package</t>
        </is>
      </c>
      <c r="C6" s="27" t="inlineStr">
        <is>
          <t>[DEAL]</t>
        </is>
      </c>
      <c r="D6" s="29" t="n"/>
      <c r="E6" s="29" t="n"/>
      <c r="F6" s="29" t="n"/>
      <c r="G6" s="29" t="n"/>
      <c r="H6" s="29" t="n"/>
      <c r="I6" s="29" t="n"/>
      <c r="J6" s="29" t="n"/>
      <c r="K6" s="29" t="n"/>
      <c r="L6" s="29" t="n"/>
      <c r="M6" s="29" t="n"/>
      <c r="N6" s="29" t="n"/>
      <c r="O6" s="30" t="inlineStr">
        <is>
          <t>DEAL</t>
        </is>
      </c>
    </row>
    <row r="7">
      <c r="A7" s="27" t="inlineStr">
        <is>
          <t>2700.06</t>
        </is>
      </c>
      <c r="B7" s="28" t="inlineStr">
        <is>
          <t>Generator rental</t>
        </is>
      </c>
      <c r="C7" s="27" t="inlineStr">
        <is>
          <t>[DEAL]</t>
        </is>
      </c>
      <c r="D7" s="29" t="n"/>
      <c r="E7" s="29" t="n"/>
      <c r="F7" s="29" t="n"/>
      <c r="G7" s="29" t="n"/>
      <c r="H7" s="29" t="n"/>
      <c r="I7" s="29" t="n"/>
      <c r="J7" s="29" t="n"/>
      <c r="K7" s="29" t="n"/>
      <c r="L7" s="29" t="n"/>
      <c r="M7" s="29" t="n"/>
      <c r="N7" s="29" t="n"/>
      <c r="O7" s="30" t="inlineStr">
        <is>
          <t>DEAL</t>
        </is>
      </c>
    </row>
  </sheetData>
  <hyperlinks>
    <hyperlink xmlns:r="http://schemas.openxmlformats.org/officeDocument/2006/relationships" ref="K2" r:id="rId1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0" customWidth="1" min="3" max="3"/>
    <col width="14" customWidth="1" min="4" max="4"/>
    <col width="12" customWidth="1" min="5" max="5"/>
    <col width="12" customWidth="1" min="6" max="6"/>
    <col width="10" customWidth="1" min="7" max="7"/>
    <col width="12" customWidth="1" min="8" max="8"/>
    <col width="20" customWidth="1" min="9" max="9"/>
    <col width="28" customWidth="1" min="10" max="10"/>
    <col width="11" customWidth="1" min="11" max="11"/>
    <col width="35" customWidth="1" min="12" max="12"/>
    <col width="35" customWidth="1" min="13" max="13"/>
    <col width="12" customWidth="1" min="14" max="14"/>
    <col width="14" customWidth="1" min="15" max="15"/>
  </cols>
  <sheetData>
    <row r="1">
      <c r="A1" s="2" t="inlineStr">
        <is>
          <t>Account No</t>
        </is>
      </c>
      <c r="B1" s="2" t="inlineStr">
        <is>
          <t>Description</t>
        </is>
      </c>
      <c r="C1" s="2" t="inlineStr">
        <is>
          <t>Amount</t>
        </is>
      </c>
      <c r="D1" s="2" t="inlineStr">
        <is>
          <t>Unit Type</t>
        </is>
      </c>
      <c r="E1" s="2" t="inlineStr">
        <is>
          <t>Rate</t>
        </is>
      </c>
      <c r="F1" s="2" t="inlineStr">
        <is>
          <t>Subtotal</t>
        </is>
      </c>
      <c r="G1" s="2" t="inlineStr">
        <is>
          <t>Fringe %</t>
        </is>
      </c>
      <c r="H1" s="2" t="inlineStr">
        <is>
          <t>Total</t>
        </is>
      </c>
      <c r="I1" s="2" t="inlineStr">
        <is>
          <t>Vendor</t>
        </is>
      </c>
      <c r="J1" s="2" t="inlineStr">
        <is>
          <t>Vendor URL</t>
        </is>
      </c>
      <c r="K1" s="2" t="inlineStr">
        <is>
          <t>Script Page</t>
        </is>
      </c>
      <c r="L1" s="2" t="inlineStr">
        <is>
          <t>Script Quote</t>
        </is>
      </c>
      <c r="M1" s="2" t="inlineStr">
        <is>
          <t>Notes</t>
        </is>
      </c>
      <c r="N1" s="2" t="inlineStr">
        <is>
          <t>Confidence</t>
        </is>
      </c>
      <c r="O1" s="2" t="inlineStr">
        <is>
          <t>Populated By</t>
        </is>
      </c>
    </row>
    <row r="2">
      <c r="A2" s="27" t="inlineStr">
        <is>
          <t>2800.01</t>
        </is>
      </c>
      <c r="B2" s="28" t="inlineStr">
        <is>
          <t>Key Grip</t>
        </is>
      </c>
      <c r="C2" s="27" t="inlineStr">
        <is>
          <t>[DEAL]</t>
        </is>
      </c>
      <c r="D2" s="29" t="n"/>
      <c r="E2" s="29" t="n"/>
      <c r="F2" s="29" t="n"/>
      <c r="G2" s="29" t="n"/>
      <c r="H2" s="29" t="n"/>
      <c r="I2" s="29" t="n"/>
      <c r="J2" s="29" t="n"/>
      <c r="K2" s="29" t="n"/>
      <c r="L2" s="29" t="n"/>
      <c r="M2" s="29" t="n"/>
      <c r="N2" s="29" t="n"/>
      <c r="O2" s="30" t="inlineStr">
        <is>
          <t>DEAL</t>
        </is>
      </c>
    </row>
    <row r="3">
      <c r="A3" s="27" t="inlineStr">
        <is>
          <t>2800.02</t>
        </is>
      </c>
      <c r="B3" s="28" t="inlineStr">
        <is>
          <t>Best Boy Grip</t>
        </is>
      </c>
      <c r="C3" s="27" t="inlineStr">
        <is>
          <t>[DEAL]</t>
        </is>
      </c>
      <c r="D3" s="29" t="n"/>
      <c r="E3" s="29" t="n"/>
      <c r="F3" s="29" t="n"/>
      <c r="G3" s="29" t="n"/>
      <c r="H3" s="29" t="n"/>
      <c r="I3" s="29" t="n"/>
      <c r="J3" s="29" t="n"/>
      <c r="K3" s="29" t="n"/>
      <c r="L3" s="29" t="n"/>
      <c r="M3" s="29" t="n"/>
      <c r="N3" s="29" t="n"/>
      <c r="O3" s="30" t="inlineStr">
        <is>
          <t>DEAL</t>
        </is>
      </c>
    </row>
    <row r="4">
      <c r="A4" s="27" t="inlineStr">
        <is>
          <t>2800.03</t>
        </is>
      </c>
      <c r="B4" s="28" t="inlineStr">
        <is>
          <t>Dolly Grip</t>
        </is>
      </c>
      <c r="C4" s="27" t="inlineStr">
        <is>
          <t>[DEAL]</t>
        </is>
      </c>
      <c r="D4" s="29" t="n"/>
      <c r="E4" s="29" t="n"/>
      <c r="F4" s="29" t="n"/>
      <c r="G4" s="29" t="n"/>
      <c r="H4" s="29" t="n"/>
      <c r="I4" s="29" t="n"/>
      <c r="J4" s="29" t="n"/>
      <c r="K4" s="29" t="n"/>
      <c r="L4" s="29" t="n"/>
      <c r="M4" s="29" t="n"/>
      <c r="N4" s="29" t="n"/>
      <c r="O4" s="30" t="inlineStr">
        <is>
          <t>DEAL</t>
        </is>
      </c>
    </row>
    <row r="5">
      <c r="A5" s="27" t="inlineStr">
        <is>
          <t>2800.04</t>
        </is>
      </c>
      <c r="B5" s="28" t="inlineStr">
        <is>
          <t>Grip Package</t>
        </is>
      </c>
      <c r="C5" s="27" t="inlineStr">
        <is>
          <t>[DEAL]</t>
        </is>
      </c>
      <c r="D5" s="29" t="n"/>
      <c r="E5" s="29" t="n"/>
      <c r="F5" s="29" t="n"/>
      <c r="G5" s="29" t="n"/>
      <c r="H5" s="29" t="n"/>
      <c r="I5" s="29" t="n"/>
      <c r="J5" s="29" t="n"/>
      <c r="K5" s="29" t="n"/>
      <c r="L5" s="29" t="n"/>
      <c r="M5" s="29" t="n"/>
      <c r="N5" s="29" t="n"/>
      <c r="O5" s="30" t="inlineStr">
        <is>
          <t>DEAL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0" customWidth="1" min="3" max="3"/>
    <col width="14" customWidth="1" min="4" max="4"/>
    <col width="12" customWidth="1" min="5" max="5"/>
    <col width="12" customWidth="1" min="6" max="6"/>
    <col width="10" customWidth="1" min="7" max="7"/>
    <col width="12" customWidth="1" min="8" max="8"/>
    <col width="20" customWidth="1" min="9" max="9"/>
    <col width="28" customWidth="1" min="10" max="10"/>
    <col width="11" customWidth="1" min="11" max="11"/>
    <col width="35" customWidth="1" min="12" max="12"/>
    <col width="35" customWidth="1" min="13" max="13"/>
    <col width="12" customWidth="1" min="14" max="14"/>
    <col width="14" customWidth="1" min="15" max="15"/>
  </cols>
  <sheetData>
    <row r="1">
      <c r="A1" s="2" t="inlineStr">
        <is>
          <t>Account No</t>
        </is>
      </c>
      <c r="B1" s="2" t="inlineStr">
        <is>
          <t>Description</t>
        </is>
      </c>
      <c r="C1" s="2" t="inlineStr">
        <is>
          <t>Amount</t>
        </is>
      </c>
      <c r="D1" s="2" t="inlineStr">
        <is>
          <t>Unit Type</t>
        </is>
      </c>
      <c r="E1" s="2" t="inlineStr">
        <is>
          <t>Rate</t>
        </is>
      </c>
      <c r="F1" s="2" t="inlineStr">
        <is>
          <t>Subtotal</t>
        </is>
      </c>
      <c r="G1" s="2" t="inlineStr">
        <is>
          <t>Fringe %</t>
        </is>
      </c>
      <c r="H1" s="2" t="inlineStr">
        <is>
          <t>Total</t>
        </is>
      </c>
      <c r="I1" s="2" t="inlineStr">
        <is>
          <t>Vendor</t>
        </is>
      </c>
      <c r="J1" s="2" t="inlineStr">
        <is>
          <t>Vendor URL</t>
        </is>
      </c>
      <c r="K1" s="2" t="inlineStr">
        <is>
          <t>Script Page</t>
        </is>
      </c>
      <c r="L1" s="2" t="inlineStr">
        <is>
          <t>Script Quote</t>
        </is>
      </c>
      <c r="M1" s="2" t="inlineStr">
        <is>
          <t>Notes</t>
        </is>
      </c>
      <c r="N1" s="2" t="inlineStr">
        <is>
          <t>Confidence</t>
        </is>
      </c>
      <c r="O1" s="2" t="inlineStr">
        <is>
          <t>Populated By</t>
        </is>
      </c>
    </row>
    <row r="2">
      <c r="A2" s="27" t="inlineStr">
        <is>
          <t>2900.01</t>
        </is>
      </c>
      <c r="B2" s="28" t="inlineStr">
        <is>
          <t>Production Sound Mixer</t>
        </is>
      </c>
      <c r="C2" s="27" t="inlineStr">
        <is>
          <t>[DEAL]</t>
        </is>
      </c>
      <c r="D2" s="29" t="n"/>
      <c r="E2" s="29" t="n"/>
      <c r="F2" s="29" t="n"/>
      <c r="G2" s="29" t="n"/>
      <c r="H2" s="29" t="n"/>
      <c r="I2" s="29" t="n"/>
      <c r="J2" s="29" t="n"/>
      <c r="K2" s="29" t="n"/>
      <c r="L2" s="29" t="n"/>
      <c r="M2" s="29" t="n"/>
      <c r="N2" s="29" t="n"/>
      <c r="O2" s="30" t="inlineStr">
        <is>
          <t>DEAL</t>
        </is>
      </c>
    </row>
    <row r="3">
      <c r="A3" s="27" t="inlineStr">
        <is>
          <t>2900.02</t>
        </is>
      </c>
      <c r="B3" s="28" t="inlineStr">
        <is>
          <t>Boom Operator</t>
        </is>
      </c>
      <c r="C3" s="27" t="inlineStr">
        <is>
          <t>[DEAL]</t>
        </is>
      </c>
      <c r="D3" s="29" t="n"/>
      <c r="E3" s="29" t="n"/>
      <c r="F3" s="29" t="n"/>
      <c r="G3" s="29" t="n"/>
      <c r="H3" s="29" t="n"/>
      <c r="I3" s="29" t="n"/>
      <c r="J3" s="29" t="n"/>
      <c r="K3" s="29" t="n"/>
      <c r="L3" s="29" t="n"/>
      <c r="M3" s="29" t="n"/>
      <c r="N3" s="29" t="n"/>
      <c r="O3" s="30" t="inlineStr">
        <is>
          <t>DEAL</t>
        </is>
      </c>
    </row>
    <row r="4">
      <c r="A4" s="27" t="inlineStr">
        <is>
          <t>2900.03</t>
        </is>
      </c>
      <c r="B4" s="28" t="inlineStr">
        <is>
          <t>Sound Package</t>
        </is>
      </c>
      <c r="C4" s="27" t="inlineStr">
        <is>
          <t>[DEAL]</t>
        </is>
      </c>
      <c r="D4" s="29" t="n"/>
      <c r="E4" s="29" t="n"/>
      <c r="F4" s="29" t="n"/>
      <c r="G4" s="29" t="n"/>
      <c r="H4" s="29" t="n"/>
      <c r="I4" s="29" t="n"/>
      <c r="J4" s="29" t="n"/>
      <c r="K4" s="29" t="n"/>
      <c r="L4" s="29" t="n"/>
      <c r="M4" s="29" t="n"/>
      <c r="N4" s="29" t="n"/>
      <c r="O4" s="30" t="inlineStr">
        <is>
          <t>DEAL</t>
        </is>
      </c>
    </row>
    <row r="5">
      <c r="A5" s="27" t="inlineStr">
        <is>
          <t>2900.04</t>
        </is>
      </c>
      <c r="B5" s="28" t="inlineStr">
        <is>
          <t>Walkie-talkies</t>
        </is>
      </c>
      <c r="C5" s="27" t="inlineStr">
        <is>
          <t>[DEAL]</t>
        </is>
      </c>
      <c r="D5" s="29" t="n"/>
      <c r="E5" s="29" t="n"/>
      <c r="F5" s="29" t="n"/>
      <c r="G5" s="29" t="n"/>
      <c r="H5" s="29" t="n"/>
      <c r="I5" s="29" t="n"/>
      <c r="J5" s="29" t="n"/>
      <c r="K5" s="29" t="n"/>
      <c r="L5" s="29" t="n"/>
      <c r="M5" s="29" t="n"/>
      <c r="N5" s="29" t="n"/>
      <c r="O5" s="30" t="inlineStr">
        <is>
          <t>DEAL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0" customWidth="1" min="3" max="3"/>
    <col width="14" customWidth="1" min="4" max="4"/>
    <col width="12" customWidth="1" min="5" max="5"/>
    <col width="12" customWidth="1" min="6" max="6"/>
    <col width="10" customWidth="1" min="7" max="7"/>
    <col width="12" customWidth="1" min="8" max="8"/>
    <col width="20" customWidth="1" min="9" max="9"/>
    <col width="28" customWidth="1" min="10" max="10"/>
    <col width="11" customWidth="1" min="11" max="11"/>
    <col width="35" customWidth="1" min="12" max="12"/>
    <col width="35" customWidth="1" min="13" max="13"/>
    <col width="12" customWidth="1" min="14" max="14"/>
    <col width="14" customWidth="1" min="15" max="15"/>
  </cols>
  <sheetData>
    <row r="1">
      <c r="A1" s="2" t="inlineStr">
        <is>
          <t>Account No</t>
        </is>
      </c>
      <c r="B1" s="2" t="inlineStr">
        <is>
          <t>Description</t>
        </is>
      </c>
      <c r="C1" s="2" t="inlineStr">
        <is>
          <t>Amount</t>
        </is>
      </c>
      <c r="D1" s="2" t="inlineStr">
        <is>
          <t>Unit Type</t>
        </is>
      </c>
      <c r="E1" s="2" t="inlineStr">
        <is>
          <t>Rate</t>
        </is>
      </c>
      <c r="F1" s="2" t="inlineStr">
        <is>
          <t>Subtotal</t>
        </is>
      </c>
      <c r="G1" s="2" t="inlineStr">
        <is>
          <t>Fringe %</t>
        </is>
      </c>
      <c r="H1" s="2" t="inlineStr">
        <is>
          <t>Total</t>
        </is>
      </c>
      <c r="I1" s="2" t="inlineStr">
        <is>
          <t>Vendor</t>
        </is>
      </c>
      <c r="J1" s="2" t="inlineStr">
        <is>
          <t>Vendor URL</t>
        </is>
      </c>
      <c r="K1" s="2" t="inlineStr">
        <is>
          <t>Script Page</t>
        </is>
      </c>
      <c r="L1" s="2" t="inlineStr">
        <is>
          <t>Script Quote</t>
        </is>
      </c>
      <c r="M1" s="2" t="inlineStr">
        <is>
          <t>Notes</t>
        </is>
      </c>
      <c r="N1" s="2" t="inlineStr">
        <is>
          <t>Confidence</t>
        </is>
      </c>
      <c r="O1" s="2" t="inlineStr">
        <is>
          <t>Populated By</t>
        </is>
      </c>
    </row>
    <row r="2">
      <c r="A2" s="27" t="inlineStr">
        <is>
          <t>2950.01</t>
        </is>
      </c>
      <c r="B2" s="28" t="inlineStr">
        <is>
          <t>Stunt Coordinator</t>
        </is>
      </c>
      <c r="C2" s="27" t="inlineStr">
        <is>
          <t>[DEAL]</t>
        </is>
      </c>
      <c r="D2" s="29" t="n"/>
      <c r="E2" s="29" t="n"/>
      <c r="F2" s="29" t="n"/>
      <c r="G2" s="29" t="n"/>
      <c r="H2" s="29" t="n"/>
      <c r="I2" s="29" t="n"/>
      <c r="J2" s="29" t="n"/>
      <c r="K2" s="29" t="n"/>
      <c r="L2" s="29" t="n"/>
      <c r="M2" s="29" t="n"/>
      <c r="N2" s="29" t="n"/>
      <c r="O2" s="30" t="inlineStr">
        <is>
          <t>DEAL</t>
        </is>
      </c>
    </row>
    <row r="3">
      <c r="A3" s="27" t="inlineStr">
        <is>
          <t>2950.02</t>
        </is>
      </c>
      <c r="B3" s="28" t="inlineStr">
        <is>
          <t>Stunt Performer(s)</t>
        </is>
      </c>
      <c r="C3" s="27" t="inlineStr">
        <is>
          <t>[DEAL]</t>
        </is>
      </c>
      <c r="D3" s="29" t="n"/>
      <c r="E3" s="29" t="n"/>
      <c r="F3" s="29" t="n"/>
      <c r="G3" s="29" t="n"/>
      <c r="H3" s="29" t="n"/>
      <c r="I3" s="29" t="n"/>
      <c r="J3" s="29" t="n"/>
      <c r="K3" s="29" t="n"/>
      <c r="L3" s="29" t="n"/>
      <c r="M3" s="29" t="n"/>
      <c r="N3" s="29" t="n"/>
      <c r="O3" s="30" t="inlineStr">
        <is>
          <t>DEAL</t>
        </is>
      </c>
    </row>
    <row r="4">
      <c r="A4" s="27" t="inlineStr">
        <is>
          <t>2950.03</t>
        </is>
      </c>
      <c r="B4" s="28" t="inlineStr">
        <is>
          <t>Safety Officer</t>
        </is>
      </c>
      <c r="C4" s="27" t="inlineStr">
        <is>
          <t>[DEAL]</t>
        </is>
      </c>
      <c r="D4" s="29" t="n"/>
      <c r="E4" s="29" t="n"/>
      <c r="F4" s="29" t="n"/>
      <c r="G4" s="29" t="n"/>
      <c r="H4" s="29" t="n"/>
      <c r="I4" s="29" t="n"/>
      <c r="J4" s="29" t="n"/>
      <c r="K4" s="29" t="n"/>
      <c r="L4" s="29" t="n"/>
      <c r="M4" s="29" t="n"/>
      <c r="N4" s="29" t="n"/>
      <c r="O4" s="30" t="inlineStr">
        <is>
          <t>DEAL</t>
        </is>
      </c>
    </row>
    <row r="5">
      <c r="A5" s="27" t="inlineStr">
        <is>
          <t>2950.04</t>
        </is>
      </c>
      <c r="B5" s="28" t="inlineStr">
        <is>
          <t>Stunt Equipment / Rigging</t>
        </is>
      </c>
      <c r="C5" s="27" t="inlineStr">
        <is>
          <t>[DEAL]</t>
        </is>
      </c>
      <c r="D5" s="29" t="n"/>
      <c r="E5" s="29" t="n"/>
      <c r="F5" s="29" t="n"/>
      <c r="G5" s="29" t="n"/>
      <c r="H5" s="29" t="n"/>
      <c r="I5" s="29" t="n"/>
      <c r="J5" s="29" t="n"/>
      <c r="K5" s="29" t="n"/>
      <c r="L5" s="29" t="n"/>
      <c r="M5" s="29" t="n"/>
      <c r="N5" s="29" t="n"/>
      <c r="O5" s="30" t="inlineStr">
        <is>
          <t>DEAL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0" customWidth="1" min="3" max="3"/>
    <col width="14" customWidth="1" min="4" max="4"/>
    <col width="12" customWidth="1" min="5" max="5"/>
    <col width="12" customWidth="1" min="6" max="6"/>
    <col width="10" customWidth="1" min="7" max="7"/>
    <col width="12" customWidth="1" min="8" max="8"/>
    <col width="20" customWidth="1" min="9" max="9"/>
    <col width="28" customWidth="1" min="10" max="10"/>
    <col width="11" customWidth="1" min="11" max="11"/>
    <col width="35" customWidth="1" min="12" max="12"/>
    <col width="35" customWidth="1" min="13" max="13"/>
    <col width="12" customWidth="1" min="14" max="14"/>
    <col width="14" customWidth="1" min="15" max="15"/>
  </cols>
  <sheetData>
    <row r="1">
      <c r="A1" s="2" t="inlineStr">
        <is>
          <t>Account No</t>
        </is>
      </c>
      <c r="B1" s="2" t="inlineStr">
        <is>
          <t>Description</t>
        </is>
      </c>
      <c r="C1" s="2" t="inlineStr">
        <is>
          <t>Amount</t>
        </is>
      </c>
      <c r="D1" s="2" t="inlineStr">
        <is>
          <t>Unit Type</t>
        </is>
      </c>
      <c r="E1" s="2" t="inlineStr">
        <is>
          <t>Rate</t>
        </is>
      </c>
      <c r="F1" s="2" t="inlineStr">
        <is>
          <t>Subtotal</t>
        </is>
      </c>
      <c r="G1" s="2" t="inlineStr">
        <is>
          <t>Fringe %</t>
        </is>
      </c>
      <c r="H1" s="2" t="inlineStr">
        <is>
          <t>Total</t>
        </is>
      </c>
      <c r="I1" s="2" t="inlineStr">
        <is>
          <t>Vendor</t>
        </is>
      </c>
      <c r="J1" s="2" t="inlineStr">
        <is>
          <t>Vendor URL</t>
        </is>
      </c>
      <c r="K1" s="2" t="inlineStr">
        <is>
          <t>Script Page</t>
        </is>
      </c>
      <c r="L1" s="2" t="inlineStr">
        <is>
          <t>Script Quote</t>
        </is>
      </c>
      <c r="M1" s="2" t="inlineStr">
        <is>
          <t>Notes</t>
        </is>
      </c>
      <c r="N1" s="2" t="inlineStr">
        <is>
          <t>Confidence</t>
        </is>
      </c>
      <c r="O1" s="2" t="inlineStr">
        <is>
          <t>Populated By</t>
        </is>
      </c>
    </row>
    <row r="2">
      <c r="A2" s="27" t="inlineStr">
        <is>
          <t>3000.01</t>
        </is>
      </c>
      <c r="B2" s="28" t="inlineStr">
        <is>
          <t>FX Coordinator</t>
        </is>
      </c>
      <c r="C2" s="27" t="inlineStr">
        <is>
          <t>[DEAL]</t>
        </is>
      </c>
      <c r="D2" s="29" t="n"/>
      <c r="E2" s="29" t="n"/>
      <c r="F2" s="29" t="n"/>
      <c r="G2" s="29" t="n"/>
      <c r="H2" s="29" t="n"/>
      <c r="I2" s="29" t="n"/>
      <c r="J2" s="29" t="n"/>
      <c r="K2" s="29" t="n"/>
      <c r="L2" s="29" t="n"/>
      <c r="M2" s="29" t="n"/>
      <c r="N2" s="29" t="n"/>
      <c r="O2" s="30" t="inlineStr">
        <is>
          <t>DEAL</t>
        </is>
      </c>
    </row>
    <row r="3">
      <c r="A3" s="27" t="inlineStr">
        <is>
          <t>3000.02</t>
        </is>
      </c>
      <c r="B3" s="28" t="inlineStr">
        <is>
          <t>FX Crew</t>
        </is>
      </c>
      <c r="C3" s="27" t="inlineStr">
        <is>
          <t>[DEAL]</t>
        </is>
      </c>
      <c r="D3" s="29" t="n"/>
      <c r="E3" s="29" t="n"/>
      <c r="F3" s="29" t="n"/>
      <c r="G3" s="29" t="n"/>
      <c r="H3" s="29" t="n"/>
      <c r="I3" s="29" t="n"/>
      <c r="J3" s="29" t="n"/>
      <c r="K3" s="29" t="n"/>
      <c r="L3" s="29" t="n"/>
      <c r="M3" s="29" t="n"/>
      <c r="N3" s="29" t="n"/>
      <c r="O3" s="30" t="inlineStr">
        <is>
          <t>DEAL</t>
        </is>
      </c>
    </row>
    <row r="4">
      <c r="A4" s="27" t="inlineStr">
        <is>
          <t>3000.03</t>
        </is>
      </c>
      <c r="B4" s="28" t="inlineStr">
        <is>
          <t>FX Materials / consumables</t>
        </is>
      </c>
      <c r="C4" s="27" t="inlineStr">
        <is>
          <t>[DEAL]</t>
        </is>
      </c>
      <c r="D4" s="29" t="n"/>
      <c r="E4" s="29" t="n"/>
      <c r="F4" s="29" t="n"/>
      <c r="G4" s="29" t="n"/>
      <c r="H4" s="29" t="n"/>
      <c r="I4" s="29" t="n"/>
      <c r="J4" s="29" t="n"/>
      <c r="K4" s="29" t="n"/>
      <c r="L4" s="29" t="n"/>
      <c r="M4" s="29" t="n"/>
      <c r="N4" s="29" t="n"/>
      <c r="O4" s="30" t="inlineStr">
        <is>
          <t>DEAL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0" customWidth="1" min="3" max="3"/>
    <col width="14" customWidth="1" min="4" max="4"/>
    <col width="12" customWidth="1" min="5" max="5"/>
    <col width="12" customWidth="1" min="6" max="6"/>
    <col width="10" customWidth="1" min="7" max="7"/>
    <col width="12" customWidth="1" min="8" max="8"/>
    <col width="20" customWidth="1" min="9" max="9"/>
    <col width="28" customWidth="1" min="10" max="10"/>
    <col width="11" customWidth="1" min="11" max="11"/>
    <col width="35" customWidth="1" min="12" max="12"/>
    <col width="35" customWidth="1" min="13" max="13"/>
    <col width="12" customWidth="1" min="14" max="14"/>
    <col width="14" customWidth="1" min="15" max="15"/>
  </cols>
  <sheetData>
    <row r="1">
      <c r="A1" s="2" t="inlineStr">
        <is>
          <t>Account No</t>
        </is>
      </c>
      <c r="B1" s="2" t="inlineStr">
        <is>
          <t>Description</t>
        </is>
      </c>
      <c r="C1" s="2" t="inlineStr">
        <is>
          <t>Amount</t>
        </is>
      </c>
      <c r="D1" s="2" t="inlineStr">
        <is>
          <t>Unit Type</t>
        </is>
      </c>
      <c r="E1" s="2" t="inlineStr">
        <is>
          <t>Rate</t>
        </is>
      </c>
      <c r="F1" s="2" t="inlineStr">
        <is>
          <t>Subtotal</t>
        </is>
      </c>
      <c r="G1" s="2" t="inlineStr">
        <is>
          <t>Fringe %</t>
        </is>
      </c>
      <c r="H1" s="2" t="inlineStr">
        <is>
          <t>Total</t>
        </is>
      </c>
      <c r="I1" s="2" t="inlineStr">
        <is>
          <t>Vendor</t>
        </is>
      </c>
      <c r="J1" s="2" t="inlineStr">
        <is>
          <t>Vendor URL</t>
        </is>
      </c>
      <c r="K1" s="2" t="inlineStr">
        <is>
          <t>Script Page</t>
        </is>
      </c>
      <c r="L1" s="2" t="inlineStr">
        <is>
          <t>Script Quote</t>
        </is>
      </c>
      <c r="M1" s="2" t="inlineStr">
        <is>
          <t>Notes</t>
        </is>
      </c>
      <c r="N1" s="2" t="inlineStr">
        <is>
          <t>Confidence</t>
        </is>
      </c>
      <c r="O1" s="2" t="inlineStr">
        <is>
          <t>Populated By</t>
        </is>
      </c>
    </row>
    <row r="2">
      <c r="A2" s="27" t="inlineStr">
        <is>
          <t>3100.01</t>
        </is>
      </c>
      <c r="B2" s="28" t="inlineStr">
        <is>
          <t>VFX Supervisor</t>
        </is>
      </c>
      <c r="C2" s="27" t="inlineStr">
        <is>
          <t>[DEAL]</t>
        </is>
      </c>
      <c r="D2" s="29" t="n"/>
      <c r="E2" s="29" t="n"/>
      <c r="F2" s="29" t="n"/>
      <c r="G2" s="29" t="n"/>
      <c r="H2" s="29" t="n"/>
      <c r="I2" s="29" t="n"/>
      <c r="J2" s="29" t="n"/>
      <c r="K2" s="29" t="n"/>
      <c r="L2" s="29" t="n"/>
      <c r="M2" s="29" t="n"/>
      <c r="N2" s="29" t="n"/>
      <c r="O2" s="30" t="inlineStr">
        <is>
          <t>DEAL</t>
        </is>
      </c>
    </row>
    <row r="3">
      <c r="A3" s="27" t="inlineStr">
        <is>
          <t>3100.02</t>
        </is>
      </c>
      <c r="B3" s="28" t="inlineStr">
        <is>
          <t>VFX Production / labor</t>
        </is>
      </c>
      <c r="C3" s="27" t="inlineStr">
        <is>
          <t>[DEAL]</t>
        </is>
      </c>
      <c r="D3" s="29" t="n"/>
      <c r="E3" s="29" t="n"/>
      <c r="F3" s="29" t="n"/>
      <c r="G3" s="29" t="n"/>
      <c r="H3" s="29" t="n"/>
      <c r="I3" s="29" t="n"/>
      <c r="J3" s="29" t="n"/>
      <c r="K3" s="29" t="n"/>
      <c r="L3" s="29" t="n"/>
      <c r="M3" s="29" t="n"/>
      <c r="N3" s="29" t="n"/>
      <c r="O3" s="30" t="inlineStr">
        <is>
          <t>DEAL</t>
        </is>
      </c>
    </row>
    <row r="4">
      <c r="A4" s="27" t="inlineStr">
        <is>
          <t>3100.03</t>
        </is>
      </c>
      <c r="B4" s="28" t="inlineStr">
        <is>
          <t>VFX Software / tools</t>
        </is>
      </c>
      <c r="C4" s="27" t="inlineStr">
        <is>
          <t>[DEAL]</t>
        </is>
      </c>
      <c r="D4" s="29" t="n"/>
      <c r="E4" s="29" t="n"/>
      <c r="F4" s="29" t="n"/>
      <c r="G4" s="29" t="n"/>
      <c r="H4" s="29" t="n"/>
      <c r="I4" s="29" t="n"/>
      <c r="J4" s="29" t="n"/>
      <c r="K4" s="29" t="n"/>
      <c r="L4" s="29" t="n"/>
      <c r="M4" s="29" t="n"/>
      <c r="N4" s="29" t="n"/>
      <c r="O4" s="30" t="inlineStr">
        <is>
          <t>DEAL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0" customWidth="1" min="3" max="3"/>
    <col width="14" customWidth="1" min="4" max="4"/>
    <col width="12" customWidth="1" min="5" max="5"/>
    <col width="12" customWidth="1" min="6" max="6"/>
    <col width="10" customWidth="1" min="7" max="7"/>
    <col width="12" customWidth="1" min="8" max="8"/>
    <col width="20" customWidth="1" min="9" max="9"/>
    <col width="28" customWidth="1" min="10" max="10"/>
    <col width="11" customWidth="1" min="11" max="11"/>
    <col width="35" customWidth="1" min="12" max="12"/>
    <col width="35" customWidth="1" min="13" max="13"/>
    <col width="12" customWidth="1" min="14" max="14"/>
    <col width="14" customWidth="1" min="15" max="15"/>
  </cols>
  <sheetData>
    <row r="1">
      <c r="A1" s="2" t="inlineStr">
        <is>
          <t>Account No</t>
        </is>
      </c>
      <c r="B1" s="2" t="inlineStr">
        <is>
          <t>Description</t>
        </is>
      </c>
      <c r="C1" s="2" t="inlineStr">
        <is>
          <t>Amount</t>
        </is>
      </c>
      <c r="D1" s="2" t="inlineStr">
        <is>
          <t>Unit Type</t>
        </is>
      </c>
      <c r="E1" s="2" t="inlineStr">
        <is>
          <t>Rate</t>
        </is>
      </c>
      <c r="F1" s="2" t="inlineStr">
        <is>
          <t>Subtotal</t>
        </is>
      </c>
      <c r="G1" s="2" t="inlineStr">
        <is>
          <t>Fringe %</t>
        </is>
      </c>
      <c r="H1" s="2" t="inlineStr">
        <is>
          <t>Total</t>
        </is>
      </c>
      <c r="I1" s="2" t="inlineStr">
        <is>
          <t>Vendor</t>
        </is>
      </c>
      <c r="J1" s="2" t="inlineStr">
        <is>
          <t>Vendor URL</t>
        </is>
      </c>
      <c r="K1" s="2" t="inlineStr">
        <is>
          <t>Script Page</t>
        </is>
      </c>
      <c r="L1" s="2" t="inlineStr">
        <is>
          <t>Script Quote</t>
        </is>
      </c>
      <c r="M1" s="2" t="inlineStr">
        <is>
          <t>Notes</t>
        </is>
      </c>
      <c r="N1" s="2" t="inlineStr">
        <is>
          <t>Confidence</t>
        </is>
      </c>
      <c r="O1" s="2" t="inlineStr">
        <is>
          <t>Populated By</t>
        </is>
      </c>
    </row>
    <row r="2">
      <c r="A2" s="27" t="inlineStr">
        <is>
          <t>3200.01</t>
        </is>
      </c>
      <c r="B2" s="28" t="inlineStr">
        <is>
          <t>Set Carpenter (standby)</t>
        </is>
      </c>
      <c r="C2" s="27" t="inlineStr">
        <is>
          <t>[SCHEDULE]</t>
        </is>
      </c>
      <c r="D2" s="29" t="n"/>
      <c r="E2" s="29" t="n"/>
      <c r="F2" s="29" t="n"/>
      <c r="G2" s="29" t="n"/>
      <c r="H2" s="29" t="n"/>
      <c r="I2" s="29" t="n"/>
      <c r="J2" s="29" t="n"/>
      <c r="K2" s="29" t="n"/>
      <c r="L2" s="29" t="n"/>
      <c r="M2" s="29" t="n"/>
      <c r="N2" s="29" t="n"/>
      <c r="O2" s="36" t="inlineStr">
        <is>
          <t>SCHEDULE</t>
        </is>
      </c>
    </row>
    <row r="3">
      <c r="A3" s="27" t="inlineStr">
        <is>
          <t>3200.02</t>
        </is>
      </c>
      <c r="B3" s="28" t="inlineStr">
        <is>
          <t>Standby Painter</t>
        </is>
      </c>
      <c r="C3" s="27" t="inlineStr">
        <is>
          <t>[SCHEDULE]</t>
        </is>
      </c>
      <c r="D3" s="29" t="n"/>
      <c r="E3" s="29" t="n"/>
      <c r="F3" s="29" t="n"/>
      <c r="G3" s="29" t="n"/>
      <c r="H3" s="29" t="n"/>
      <c r="I3" s="29" t="n"/>
      <c r="J3" s="29" t="n"/>
      <c r="K3" s="29" t="n"/>
      <c r="L3" s="29" t="n"/>
      <c r="M3" s="29" t="n"/>
      <c r="N3" s="29" t="n"/>
      <c r="O3" s="36" t="inlineStr">
        <is>
          <t>SCHEDULE</t>
        </is>
      </c>
    </row>
    <row r="4">
      <c r="A4" s="27" t="inlineStr">
        <is>
          <t>3200.03</t>
        </is>
      </c>
      <c r="B4" s="28" t="inlineStr">
        <is>
          <t>Craft Service</t>
        </is>
      </c>
      <c r="C4" s="27" t="inlineStr">
        <is>
          <t>[SCHEDULE]</t>
        </is>
      </c>
      <c r="D4" s="29" t="n"/>
      <c r="E4" s="29" t="n"/>
      <c r="F4" s="29" t="n"/>
      <c r="G4" s="29" t="n"/>
      <c r="H4" s="29" t="n"/>
      <c r="I4" s="29" t="n"/>
      <c r="J4" s="29" t="n"/>
      <c r="K4" s="29" t="n"/>
      <c r="L4" s="29" t="n"/>
      <c r="M4" s="29" t="n"/>
      <c r="N4" s="29" t="n"/>
      <c r="O4" s="36" t="inlineStr">
        <is>
          <t>SCHEDULE</t>
        </is>
      </c>
    </row>
    <row r="5">
      <c r="A5" s="27" t="inlineStr">
        <is>
          <t>3200.04</t>
        </is>
      </c>
      <c r="B5" s="28" t="inlineStr">
        <is>
          <t>First Aid / On-set Nurse</t>
        </is>
      </c>
      <c r="C5" s="27" t="inlineStr">
        <is>
          <t>[SCHEDULE]</t>
        </is>
      </c>
      <c r="D5" s="29" t="n"/>
      <c r="E5" s="29" t="n"/>
      <c r="F5" s="29" t="n"/>
      <c r="G5" s="29" t="n"/>
      <c r="H5" s="29" t="n"/>
      <c r="I5" s="29" t="n"/>
      <c r="J5" s="29" t="n"/>
      <c r="K5" s="29" t="n"/>
      <c r="L5" s="29" t="n"/>
      <c r="M5" s="29" t="n"/>
      <c r="N5" s="29" t="n"/>
      <c r="O5" s="36" t="inlineStr">
        <is>
          <t>SCHEDULE</t>
        </is>
      </c>
    </row>
    <row r="6">
      <c r="A6" s="27" t="inlineStr">
        <is>
          <t>3200.05</t>
        </is>
      </c>
      <c r="B6" s="28" t="inlineStr">
        <is>
          <t>Security</t>
        </is>
      </c>
      <c r="C6" s="27" t="inlineStr">
        <is>
          <t>[SCHEDULE]</t>
        </is>
      </c>
      <c r="D6" s="29" t="n"/>
      <c r="E6" s="29" t="n"/>
      <c r="F6" s="29" t="n"/>
      <c r="G6" s="29" t="n"/>
      <c r="H6" s="29" t="n"/>
      <c r="I6" s="29" t="n"/>
      <c r="J6" s="29" t="n"/>
      <c r="K6" s="29" t="n"/>
      <c r="L6" s="29" t="n"/>
      <c r="M6" s="29" t="n"/>
      <c r="N6" s="29" t="n"/>
      <c r="O6" s="36" t="inlineStr">
        <is>
          <t>SCHEDULE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0" customWidth="1" min="3" max="3"/>
    <col width="14" customWidth="1" min="4" max="4"/>
    <col width="12" customWidth="1" min="5" max="5"/>
    <col width="12" customWidth="1" min="6" max="6"/>
    <col width="10" customWidth="1" min="7" max="7"/>
    <col width="12" customWidth="1" min="8" max="8"/>
    <col width="20" customWidth="1" min="9" max="9"/>
    <col width="28" customWidth="1" min="10" max="10"/>
    <col width="11" customWidth="1" min="11" max="11"/>
    <col width="35" customWidth="1" min="12" max="12"/>
    <col width="35" customWidth="1" min="13" max="13"/>
    <col width="12" customWidth="1" min="14" max="14"/>
    <col width="14" customWidth="1" min="15" max="15"/>
  </cols>
  <sheetData>
    <row r="1">
      <c r="A1" s="2" t="inlineStr">
        <is>
          <t>Account No</t>
        </is>
      </c>
      <c r="B1" s="2" t="inlineStr">
        <is>
          <t>Description</t>
        </is>
      </c>
      <c r="C1" s="2" t="inlineStr">
        <is>
          <t>Amount</t>
        </is>
      </c>
      <c r="D1" s="2" t="inlineStr">
        <is>
          <t>Unit Type</t>
        </is>
      </c>
      <c r="E1" s="2" t="inlineStr">
        <is>
          <t>Rate</t>
        </is>
      </c>
      <c r="F1" s="2" t="inlineStr">
        <is>
          <t>Subtotal</t>
        </is>
      </c>
      <c r="G1" s="2" t="inlineStr">
        <is>
          <t>Fringe %</t>
        </is>
      </c>
      <c r="H1" s="2" t="inlineStr">
        <is>
          <t>Total</t>
        </is>
      </c>
      <c r="I1" s="2" t="inlineStr">
        <is>
          <t>Vendor</t>
        </is>
      </c>
      <c r="J1" s="2" t="inlineStr">
        <is>
          <t>Vendor URL</t>
        </is>
      </c>
      <c r="K1" s="2" t="inlineStr">
        <is>
          <t>Script Page</t>
        </is>
      </c>
      <c r="L1" s="2" t="inlineStr">
        <is>
          <t>Script Quote</t>
        </is>
      </c>
      <c r="M1" s="2" t="inlineStr">
        <is>
          <t>Notes</t>
        </is>
      </c>
      <c r="N1" s="2" t="inlineStr">
        <is>
          <t>Confidence</t>
        </is>
      </c>
      <c r="O1" s="2" t="inlineStr">
        <is>
          <t>Populated By</t>
        </is>
      </c>
    </row>
    <row r="2">
      <c r="A2" s="5" t="inlineStr">
        <is>
          <t>3300.01</t>
        </is>
      </c>
      <c r="B2" s="24" t="inlineStr">
        <is>
          <t>Hero costume — J.J. Gittes, white linen suit (period 1930s/40s detective)</t>
        </is>
      </c>
      <c r="C2" s="5" t="n">
        <v>2</v>
      </c>
      <c r="D2" s="5" t="inlineStr">
        <is>
          <t>Allow</t>
        </is>
      </c>
      <c r="E2" s="31" t="n"/>
      <c r="F2" s="6">
        <f>IFERROR(C2*D2*E2,"")</f>
        <v/>
      </c>
      <c r="H2" s="6">
        <f>IFERROR(F2+(F2*G2),"")</f>
        <v/>
      </c>
      <c r="K2" s="32" t="n">
        <v>2</v>
      </c>
      <c r="L2" s="33" t="inlineStr">
        <is>
          <t>He looks cool and brisk in a white linen suit despite the heat.</t>
        </is>
      </c>
      <c r="M2" s="24" t="inlineStr">
        <is>
          <t>Minimum 2 units required — hero + continuity backup. Add units if stunt double scenes are present. Period 1930s Los Angeles setting — all wardrobe must reflect era.</t>
        </is>
      </c>
      <c r="N2" s="34" t="inlineStr">
        <is>
          <t>High</t>
        </is>
      </c>
      <c r="O2" s="35" t="inlineStr">
        <is>
          <t>SCRIPT</t>
        </is>
      </c>
    </row>
    <row r="3">
      <c r="A3" s="5" t="inlineStr">
        <is>
          <t>3300.02</t>
        </is>
      </c>
      <c r="B3" s="24" t="inlineStr">
        <is>
          <t>Hero costume — impeccable dressed Gittes exterior City Hall (period 1930s/40s)</t>
        </is>
      </c>
      <c r="C3" s="5" t="n">
        <v>2</v>
      </c>
      <c r="D3" s="5" t="inlineStr">
        <is>
          <t>Allow</t>
        </is>
      </c>
      <c r="E3" s="31" t="n"/>
      <c r="F3" s="6">
        <f>IFERROR(C3*D3*E3,"")</f>
        <v/>
      </c>
      <c r="H3" s="6">
        <f>IFERROR(F3+(F3*G3),"")</f>
        <v/>
      </c>
      <c r="K3" s="32" t="n">
        <v>7</v>
      </c>
      <c r="L3" s="33" t="inlineStr">
        <is>
          <t>Gittes, impeccably dressed, passes the drunk on the way up the stairs.</t>
        </is>
      </c>
      <c r="M3" s="24" t="inlineStr">
        <is>
          <t>Minimum 2 units required — hero + continuity backup. May overlap with 3300.01 if same suit continuity — confirm with costume designer. Period 1930s Los Angeles setting.</t>
        </is>
      </c>
      <c r="N3" s="34" t="inlineStr">
        <is>
          <t>High</t>
        </is>
      </c>
      <c r="O3" s="35" t="inlineStr">
        <is>
          <t>SCRIPT</t>
        </is>
      </c>
    </row>
    <row r="4">
      <c r="A4" s="5" t="inlineStr">
        <is>
          <t>3300.03</t>
        </is>
      </c>
      <c r="B4" s="24" t="inlineStr">
        <is>
          <t>Period costume — Curly, workman's clothes (period 1930s/40s)</t>
        </is>
      </c>
      <c r="C4" s="5" t="n">
        <v>2</v>
      </c>
      <c r="D4" s="5" t="inlineStr">
        <is>
          <t>Allow</t>
        </is>
      </c>
      <c r="E4" s="31" t="n"/>
      <c r="F4" s="6">
        <f>IFERROR(C4*D4*E4,"")</f>
        <v/>
      </c>
      <c r="H4" s="6">
        <f>IFERROR(F4+(F4*G4),"")</f>
        <v/>
      </c>
      <c r="K4" s="32" t="n">
        <v>2</v>
      </c>
      <c r="L4" s="33" t="inlineStr">
        <is>
          <t>Curly towers over GITTES and sweats heavily through his workman's clothes.</t>
        </is>
      </c>
      <c r="M4" s="24" t="inlineStr">
        <is>
          <t>Minimum 2 units required — hero + continuity backup. Add units if stunt double scenes are present. Period 1930s working-class wardrobe.</t>
        </is>
      </c>
      <c r="N4" s="34" t="inlineStr">
        <is>
          <t>High</t>
        </is>
      </c>
      <c r="O4" s="35" t="inlineStr">
        <is>
          <t>SCRIPT</t>
        </is>
      </c>
    </row>
    <row r="5">
      <c r="A5" s="5" t="inlineStr">
        <is>
          <t>3300.04</t>
        </is>
      </c>
      <c r="B5" s="24" t="inlineStr">
        <is>
          <t>Period costume — Mrs. Mulwray, dress with handbag and shoes, pillbox hat with veil (period 1930s/40s)</t>
        </is>
      </c>
      <c r="C5" s="5" t="n">
        <v>2</v>
      </c>
      <c r="D5" s="5" t="inlineStr">
        <is>
          <t>Allow</t>
        </is>
      </c>
      <c r="E5" s="31" t="n"/>
      <c r="F5" s="6">
        <f>IFERROR(C5*D5*E5,"")</f>
        <v/>
      </c>
      <c r="H5" s="6">
        <f>IFERROR(F5+(F5*G5),"")</f>
        <v/>
      </c>
      <c r="K5" s="32" t="n">
        <v>6</v>
      </c>
      <c r="L5" s="33" t="inlineStr">
        <is>
          <t>checking out the detailing of Mrs. Mulwray's dress – her handbag, shoes, etc.</t>
        </is>
      </c>
      <c r="M5" s="24" t="inlineStr">
        <is>
          <t>Minimum 2 units required — hero + continuity backup. Pillbox hat with veil explicitly described in script. All accessories must be period-accurate 1930s. Featured close-up inspection of costume detailing by another character.</t>
        </is>
      </c>
      <c r="N5" s="34" t="inlineStr">
        <is>
          <t>High</t>
        </is>
      </c>
      <c r="O5" s="35" t="inlineStr">
        <is>
          <t>SCRIPT</t>
        </is>
      </c>
    </row>
    <row r="6">
      <c r="A6" s="5" t="inlineStr">
        <is>
          <t>3300.05</t>
        </is>
      </c>
      <c r="B6" s="24" t="inlineStr">
        <is>
          <t>Period costume — Former Mayor Sam Bagby, council chambers attire (period 1930s/40s)</t>
        </is>
      </c>
      <c r="C6" s="5" t="n">
        <v>2</v>
      </c>
      <c r="D6" s="5" t="inlineStr">
        <is>
          <t>Allow</t>
        </is>
      </c>
      <c r="E6" s="31" t="n"/>
      <c r="F6" s="6">
        <f>IFERROR(C6*D6*E6,"")</f>
        <v/>
      </c>
      <c r="H6" s="6">
        <f>IFERROR(F6+(F6*G6),"")</f>
        <v/>
      </c>
      <c r="K6" s="32" t="n">
        <v>7</v>
      </c>
      <c r="L6" s="33" t="inlineStr">
        <is>
          <t>Former Mayor SAM BAGBY is speaking.</t>
        </is>
      </c>
      <c r="M6" s="24" t="inlineStr">
        <is>
          <t>Minimum 2 units required — hero + continuity backup. Period 1930s formal/political attire. Add units if stunt double scenes are present.</t>
        </is>
      </c>
      <c r="N6" s="37" t="inlineStr">
        <is>
          <t>Medium</t>
        </is>
      </c>
      <c r="O6" s="35" t="inlineStr">
        <is>
          <t>SCRIPT</t>
        </is>
      </c>
    </row>
    <row r="7">
      <c r="A7" s="27" t="inlineStr">
        <is>
          <t>3300.06</t>
        </is>
      </c>
      <c r="B7" s="28" t="inlineStr">
        <is>
          <t>Costume Designer</t>
        </is>
      </c>
      <c r="C7" s="27" t="inlineStr">
        <is>
          <t>[DEAL]</t>
        </is>
      </c>
      <c r="D7" s="29" t="n"/>
      <c r="E7" s="29" t="n"/>
      <c r="F7" s="29" t="n"/>
      <c r="G7" s="29" t="n"/>
      <c r="H7" s="29" t="n"/>
      <c r="I7" s="29" t="n"/>
      <c r="J7" s="29" t="n"/>
      <c r="K7" s="29" t="n"/>
      <c r="L7" s="29" t="n"/>
      <c r="M7" s="29" t="n"/>
      <c r="N7" s="29" t="n"/>
      <c r="O7" s="30" t="inlineStr">
        <is>
          <t>DEAL</t>
        </is>
      </c>
    </row>
    <row r="8">
      <c r="A8" s="27" t="inlineStr">
        <is>
          <t>3300.07</t>
        </is>
      </c>
      <c r="B8" s="28" t="inlineStr">
        <is>
          <t>Wardrobe Supervisor</t>
        </is>
      </c>
      <c r="C8" s="27" t="inlineStr">
        <is>
          <t>[DEAL]</t>
        </is>
      </c>
      <c r="D8" s="29" t="n"/>
      <c r="E8" s="29" t="n"/>
      <c r="F8" s="29" t="n"/>
      <c r="G8" s="29" t="n"/>
      <c r="H8" s="29" t="n"/>
      <c r="I8" s="29" t="n"/>
      <c r="J8" s="29" t="n"/>
      <c r="K8" s="29" t="n"/>
      <c r="L8" s="29" t="n"/>
      <c r="M8" s="29" t="n"/>
      <c r="N8" s="29" t="n"/>
      <c r="O8" s="30" t="inlineStr">
        <is>
          <t>DEAL</t>
        </is>
      </c>
    </row>
    <row r="9">
      <c r="A9" s="27" t="inlineStr">
        <is>
          <t>3300.08</t>
        </is>
      </c>
      <c r="B9" s="28" t="inlineStr">
        <is>
          <t>Costumer(s)</t>
        </is>
      </c>
      <c r="C9" s="27" t="inlineStr">
        <is>
          <t>[DEAL]</t>
        </is>
      </c>
      <c r="D9" s="29" t="n"/>
      <c r="E9" s="29" t="n"/>
      <c r="F9" s="29" t="n"/>
      <c r="G9" s="29" t="n"/>
      <c r="H9" s="29" t="n"/>
      <c r="I9" s="29" t="n"/>
      <c r="J9" s="29" t="n"/>
      <c r="K9" s="29" t="n"/>
      <c r="L9" s="29" t="n"/>
      <c r="M9" s="29" t="n"/>
      <c r="N9" s="29" t="n"/>
      <c r="O9" s="30" t="inlineStr">
        <is>
          <t>DEAL</t>
        </is>
      </c>
    </row>
    <row r="10">
      <c r="A10" s="27" t="inlineStr">
        <is>
          <t>3300.09</t>
        </is>
      </c>
      <c r="B10" s="28" t="inlineStr">
        <is>
          <t>Wardrobe Rental</t>
        </is>
      </c>
      <c r="C10" s="27" t="inlineStr">
        <is>
          <t>[DEAL]</t>
        </is>
      </c>
      <c r="D10" s="29" t="n"/>
      <c r="E10" s="29" t="n"/>
      <c r="F10" s="29" t="n"/>
      <c r="G10" s="29" t="n"/>
      <c r="H10" s="29" t="n"/>
      <c r="I10" s="29" t="n"/>
      <c r="J10" s="29" t="n"/>
      <c r="K10" s="29" t="n"/>
      <c r="L10" s="29" t="n"/>
      <c r="M10" s="29" t="n"/>
      <c r="N10" s="29" t="n"/>
      <c r="O10" s="30" t="inlineStr">
        <is>
          <t>DEAL</t>
        </is>
      </c>
    </row>
    <row r="11">
      <c r="A11" s="27" t="inlineStr">
        <is>
          <t>3300.10</t>
        </is>
      </c>
      <c r="B11" s="28" t="inlineStr">
        <is>
          <t>Wardrobe Purchases</t>
        </is>
      </c>
      <c r="C11" s="27" t="inlineStr">
        <is>
          <t>[DEAL]</t>
        </is>
      </c>
      <c r="D11" s="29" t="n"/>
      <c r="E11" s="29" t="n"/>
      <c r="F11" s="29" t="n"/>
      <c r="G11" s="29" t="n"/>
      <c r="H11" s="29" t="n"/>
      <c r="I11" s="29" t="n"/>
      <c r="J11" s="29" t="n"/>
      <c r="K11" s="29" t="n"/>
      <c r="L11" s="29" t="n"/>
      <c r="M11" s="29" t="n"/>
      <c r="N11" s="29" t="n"/>
      <c r="O11" s="30" t="inlineStr">
        <is>
          <t>DEAL</t>
        </is>
      </c>
    </row>
    <row r="12">
      <c r="A12" s="27" t="inlineStr">
        <is>
          <t>3300.11</t>
        </is>
      </c>
      <c r="B12" s="28" t="inlineStr">
        <is>
          <t>Dry cleaning / laundry</t>
        </is>
      </c>
      <c r="C12" s="27" t="inlineStr">
        <is>
          <t>[DEAL]</t>
        </is>
      </c>
      <c r="D12" s="29" t="n"/>
      <c r="E12" s="29" t="n"/>
      <c r="F12" s="29" t="n"/>
      <c r="G12" s="29" t="n"/>
      <c r="H12" s="29" t="n"/>
      <c r="I12" s="29" t="n"/>
      <c r="J12" s="29" t="n"/>
      <c r="K12" s="29" t="n"/>
      <c r="L12" s="29" t="n"/>
      <c r="M12" s="29" t="n"/>
      <c r="N12" s="29" t="n"/>
      <c r="O12" s="30" t="inlineStr">
        <is>
          <t>DEAL</t>
        </is>
      </c>
    </row>
  </sheetData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0" customWidth="1" min="3" max="3"/>
    <col width="14" customWidth="1" min="4" max="4"/>
    <col width="12" customWidth="1" min="5" max="5"/>
    <col width="12" customWidth="1" min="6" max="6"/>
    <col width="10" customWidth="1" min="7" max="7"/>
    <col width="12" customWidth="1" min="8" max="8"/>
    <col width="20" customWidth="1" min="9" max="9"/>
    <col width="28" customWidth="1" min="10" max="10"/>
    <col width="11" customWidth="1" min="11" max="11"/>
    <col width="35" customWidth="1" min="12" max="12"/>
    <col width="35" customWidth="1" min="13" max="13"/>
    <col width="12" customWidth="1" min="14" max="14"/>
    <col width="14" customWidth="1" min="15" max="15"/>
  </cols>
  <sheetData>
    <row r="1">
      <c r="A1" s="2" t="inlineStr">
        <is>
          <t>Account No</t>
        </is>
      </c>
      <c r="B1" s="2" t="inlineStr">
        <is>
          <t>Description</t>
        </is>
      </c>
      <c r="C1" s="2" t="inlineStr">
        <is>
          <t>Amount</t>
        </is>
      </c>
      <c r="D1" s="2" t="inlineStr">
        <is>
          <t>Unit Type</t>
        </is>
      </c>
      <c r="E1" s="2" t="inlineStr">
        <is>
          <t>Rate</t>
        </is>
      </c>
      <c r="F1" s="2" t="inlineStr">
        <is>
          <t>Subtotal</t>
        </is>
      </c>
      <c r="G1" s="2" t="inlineStr">
        <is>
          <t>Fringe %</t>
        </is>
      </c>
      <c r="H1" s="2" t="inlineStr">
        <is>
          <t>Total</t>
        </is>
      </c>
      <c r="I1" s="2" t="inlineStr">
        <is>
          <t>Vendor</t>
        </is>
      </c>
      <c r="J1" s="2" t="inlineStr">
        <is>
          <t>Vendor URL</t>
        </is>
      </c>
      <c r="K1" s="2" t="inlineStr">
        <is>
          <t>Script Page</t>
        </is>
      </c>
      <c r="L1" s="2" t="inlineStr">
        <is>
          <t>Script Quote</t>
        </is>
      </c>
      <c r="M1" s="2" t="inlineStr">
        <is>
          <t>Notes</t>
        </is>
      </c>
      <c r="N1" s="2" t="inlineStr">
        <is>
          <t>Confidence</t>
        </is>
      </c>
      <c r="O1" s="2" t="inlineStr">
        <is>
          <t>Populated By</t>
        </is>
      </c>
    </row>
    <row r="2">
      <c r="A2" s="5" t="inlineStr">
        <is>
          <t>3400.01</t>
        </is>
      </c>
      <c r="B2" s="24" t="inlineStr">
        <is>
          <t>Continuity makeup — tears/weeping (Curly)</t>
        </is>
      </c>
      <c r="C2" s="5" t="n">
        <v>1</v>
      </c>
      <c r="D2" s="5" t="inlineStr">
        <is>
          <t>Days</t>
        </is>
      </c>
      <c r="E2" s="31" t="n"/>
      <c r="F2" s="6">
        <f>IFERROR(C2*D2*E2,"")</f>
        <v/>
      </c>
      <c r="H2" s="6">
        <f>IFERROR(F2+(F2*G2),"")</f>
        <v/>
      </c>
      <c r="K2" s="32" t="n">
        <v>2</v>
      </c>
      <c r="L2" s="33" t="inlineStr">
        <is>
          <t>He is weeping heavily now, and is in such pain that he actually bites into the blinds.</t>
        </is>
      </c>
      <c r="M2" s="24" t="inlineStr">
        <is>
          <t>Glycerin drops and repeated touch-up application required for matching continuity across takes. Curly weeps extensively across multiple pages in Gittes' office scene.</t>
        </is>
      </c>
      <c r="N2" s="34" t="inlineStr">
        <is>
          <t>High</t>
        </is>
      </c>
      <c r="O2" s="35" t="inlineStr">
        <is>
          <t>SCRIPT</t>
        </is>
      </c>
    </row>
    <row r="3">
      <c r="A3" s="27" t="inlineStr">
        <is>
          <t>3400.02</t>
        </is>
      </c>
      <c r="B3" s="28" t="inlineStr">
        <is>
          <t>Head Makeup Artist</t>
        </is>
      </c>
      <c r="C3" s="27" t="inlineStr">
        <is>
          <t>[DEAL]</t>
        </is>
      </c>
      <c r="D3" s="29" t="n"/>
      <c r="E3" s="29" t="n"/>
      <c r="F3" s="29" t="n"/>
      <c r="G3" s="29" t="n"/>
      <c r="H3" s="29" t="n"/>
      <c r="I3" s="29" t="n"/>
      <c r="J3" s="29" t="n"/>
      <c r="K3" s="29" t="n"/>
      <c r="L3" s="29" t="n"/>
      <c r="M3" s="29" t="n"/>
      <c r="N3" s="29" t="n"/>
      <c r="O3" s="30" t="inlineStr">
        <is>
          <t>DEAL</t>
        </is>
      </c>
    </row>
    <row r="4">
      <c r="A4" s="27" t="inlineStr">
        <is>
          <t>3400.03</t>
        </is>
      </c>
      <c r="B4" s="28" t="inlineStr">
        <is>
          <t>Key Hair Stylist</t>
        </is>
      </c>
      <c r="C4" s="27" t="inlineStr">
        <is>
          <t>[DEAL]</t>
        </is>
      </c>
      <c r="D4" s="29" t="n"/>
      <c r="E4" s="29" t="n"/>
      <c r="F4" s="29" t="n"/>
      <c r="G4" s="29" t="n"/>
      <c r="H4" s="29" t="n"/>
      <c r="I4" s="29" t="n"/>
      <c r="J4" s="29" t="n"/>
      <c r="K4" s="29" t="n"/>
      <c r="L4" s="29" t="n"/>
      <c r="M4" s="29" t="n"/>
      <c r="N4" s="29" t="n"/>
      <c r="O4" s="30" t="inlineStr">
        <is>
          <t>DEAL</t>
        </is>
      </c>
    </row>
    <row r="5">
      <c r="A5" s="27" t="inlineStr">
        <is>
          <t>3400.04</t>
        </is>
      </c>
      <c r="B5" s="28" t="inlineStr">
        <is>
          <t>Additional Makeup / Hair</t>
        </is>
      </c>
      <c r="C5" s="27" t="inlineStr">
        <is>
          <t>[DEAL]</t>
        </is>
      </c>
      <c r="D5" s="29" t="n"/>
      <c r="E5" s="29" t="n"/>
      <c r="F5" s="29" t="n"/>
      <c r="G5" s="29" t="n"/>
      <c r="H5" s="29" t="n"/>
      <c r="I5" s="29" t="n"/>
      <c r="J5" s="29" t="n"/>
      <c r="K5" s="29" t="n"/>
      <c r="L5" s="29" t="n"/>
      <c r="M5" s="29" t="n"/>
      <c r="N5" s="29" t="n"/>
      <c r="O5" s="30" t="inlineStr">
        <is>
          <t>DEAL</t>
        </is>
      </c>
    </row>
    <row r="6">
      <c r="A6" s="27" t="inlineStr">
        <is>
          <t>3400.05</t>
        </is>
      </c>
      <c r="B6" s="28" t="inlineStr">
        <is>
          <t>Makeup Supplies</t>
        </is>
      </c>
      <c r="C6" s="27" t="inlineStr">
        <is>
          <t>[DEAL]</t>
        </is>
      </c>
      <c r="D6" s="29" t="n"/>
      <c r="E6" s="29" t="n"/>
      <c r="F6" s="29" t="n"/>
      <c r="G6" s="29" t="n"/>
      <c r="H6" s="29" t="n"/>
      <c r="I6" s="29" t="n"/>
      <c r="J6" s="29" t="n"/>
      <c r="K6" s="29" t="n"/>
      <c r="L6" s="29" t="n"/>
      <c r="M6" s="29" t="n"/>
      <c r="N6" s="29" t="n"/>
      <c r="O6" s="30" t="inlineStr">
        <is>
          <t>DEAL</t>
        </is>
      </c>
    </row>
  </sheetData>
  <hyperlinks>
    <hyperlink xmlns:r="http://schemas.openxmlformats.org/officeDocument/2006/relationships" ref="K2" r:id="rId1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0" customWidth="1" min="3" max="3"/>
    <col width="14" customWidth="1" min="4" max="4"/>
    <col width="12" customWidth="1" min="5" max="5"/>
    <col width="12" customWidth="1" min="6" max="6"/>
    <col width="10" customWidth="1" min="7" max="7"/>
    <col width="12" customWidth="1" min="8" max="8"/>
    <col width="20" customWidth="1" min="9" max="9"/>
    <col width="28" customWidth="1" min="10" max="10"/>
    <col width="11" customWidth="1" min="11" max="11"/>
    <col width="35" customWidth="1" min="12" max="12"/>
    <col width="35" customWidth="1" min="13" max="13"/>
    <col width="12" customWidth="1" min="14" max="14"/>
    <col width="14" customWidth="1" min="15" max="15"/>
  </cols>
  <sheetData>
    <row r="1">
      <c r="A1" s="2" t="inlineStr">
        <is>
          <t>Account No</t>
        </is>
      </c>
      <c r="B1" s="2" t="inlineStr">
        <is>
          <t>Description</t>
        </is>
      </c>
      <c r="C1" s="2" t="inlineStr">
        <is>
          <t>Amount</t>
        </is>
      </c>
      <c r="D1" s="2" t="inlineStr">
        <is>
          <t>Unit Type</t>
        </is>
      </c>
      <c r="E1" s="2" t="inlineStr">
        <is>
          <t>Rate</t>
        </is>
      </c>
      <c r="F1" s="2" t="inlineStr">
        <is>
          <t>Subtotal</t>
        </is>
      </c>
      <c r="G1" s="2" t="inlineStr">
        <is>
          <t>Fringe %</t>
        </is>
      </c>
      <c r="H1" s="2" t="inlineStr">
        <is>
          <t>Total</t>
        </is>
      </c>
      <c r="I1" s="2" t="inlineStr">
        <is>
          <t>Vendor</t>
        </is>
      </c>
      <c r="J1" s="2" t="inlineStr">
        <is>
          <t>Vendor URL</t>
        </is>
      </c>
      <c r="K1" s="2" t="inlineStr">
        <is>
          <t>Script Page</t>
        </is>
      </c>
      <c r="L1" s="2" t="inlineStr">
        <is>
          <t>Script Quote</t>
        </is>
      </c>
      <c r="M1" s="2" t="inlineStr">
        <is>
          <t>Notes</t>
        </is>
      </c>
      <c r="N1" s="2" t="inlineStr">
        <is>
          <t>Confidence</t>
        </is>
      </c>
      <c r="O1" s="2" t="inlineStr">
        <is>
          <t>Populated By</t>
        </is>
      </c>
    </row>
    <row r="2">
      <c r="A2" s="5" t="inlineStr">
        <is>
          <t>3500.01</t>
        </is>
      </c>
      <c r="B2" s="24" t="inlineStr">
        <is>
          <t>Location permit and fees — EXT. City Hall, exterior public steps and fountain</t>
        </is>
      </c>
      <c r="C2" s="5" t="n">
        <v>1</v>
      </c>
      <c r="D2" s="5" t="inlineStr">
        <is>
          <t>Allow</t>
        </is>
      </c>
      <c r="E2" s="31" t="n"/>
      <c r="F2" s="6">
        <f>IFERROR(C2*D2*E2,"")</f>
        <v/>
      </c>
      <c r="H2" s="6">
        <f>IFERROR(F2+(F2*G2),"")</f>
        <v/>
      </c>
      <c r="K2" s="32" t="n">
        <v>7</v>
      </c>
      <c r="L2" s="33" t="inlineStr">
        <is>
          <t>EXT. CITY HALL – MORNING. Already shimmering with heat.</t>
        </is>
      </c>
      <c r="M2" s="24" t="inlineStr">
        <is>
          <t>Exterior public government building location. Permit required for filming on steps and public space. Period dressing of exterior may be required. Morning shoot.</t>
        </is>
      </c>
      <c r="N2" s="34" t="inlineStr">
        <is>
          <t>High</t>
        </is>
      </c>
      <c r="O2" s="35" t="inlineStr">
        <is>
          <t>SCRIPT</t>
        </is>
      </c>
    </row>
    <row r="3">
      <c r="A3" s="27" t="inlineStr">
        <is>
          <t>3500.02</t>
        </is>
      </c>
      <c r="B3" s="28" t="inlineStr">
        <is>
          <t>Location Manager</t>
        </is>
      </c>
      <c r="C3" s="27" t="inlineStr">
        <is>
          <t>[DEAL]</t>
        </is>
      </c>
      <c r="D3" s="29" t="n"/>
      <c r="E3" s="29" t="n"/>
      <c r="F3" s="29" t="n"/>
      <c r="G3" s="29" t="n"/>
      <c r="H3" s="29" t="n"/>
      <c r="I3" s="29" t="n"/>
      <c r="J3" s="29" t="n"/>
      <c r="K3" s="29" t="n"/>
      <c r="L3" s="29" t="n"/>
      <c r="M3" s="29" t="n"/>
      <c r="N3" s="29" t="n"/>
      <c r="O3" s="30" t="inlineStr">
        <is>
          <t>DEAL</t>
        </is>
      </c>
    </row>
    <row r="4">
      <c r="A4" s="27" t="inlineStr">
        <is>
          <t>3500.03</t>
        </is>
      </c>
      <c r="B4" s="28" t="inlineStr">
        <is>
          <t>Location Scout / Survey</t>
        </is>
      </c>
      <c r="C4" s="27" t="inlineStr">
        <is>
          <t>[DEAL]</t>
        </is>
      </c>
      <c r="D4" s="29" t="n"/>
      <c r="E4" s="29" t="n"/>
      <c r="F4" s="29" t="n"/>
      <c r="G4" s="29" t="n"/>
      <c r="H4" s="29" t="n"/>
      <c r="I4" s="29" t="n"/>
      <c r="J4" s="29" t="n"/>
      <c r="K4" s="29" t="n"/>
      <c r="L4" s="29" t="n"/>
      <c r="M4" s="29" t="n"/>
      <c r="N4" s="29" t="n"/>
      <c r="O4" s="30" t="inlineStr">
        <is>
          <t>DEAL</t>
        </is>
      </c>
    </row>
    <row r="5">
      <c r="A5" s="27" t="inlineStr">
        <is>
          <t>3500.04</t>
        </is>
      </c>
      <c r="B5" s="28" t="inlineStr">
        <is>
          <t>Police / fire standby</t>
        </is>
      </c>
      <c r="C5" s="27" t="inlineStr">
        <is>
          <t>[DEAL]</t>
        </is>
      </c>
      <c r="D5" s="29" t="n"/>
      <c r="E5" s="29" t="n"/>
      <c r="F5" s="29" t="n"/>
      <c r="G5" s="29" t="n"/>
      <c r="H5" s="29" t="n"/>
      <c r="I5" s="29" t="n"/>
      <c r="J5" s="29" t="n"/>
      <c r="K5" s="29" t="n"/>
      <c r="L5" s="29" t="n"/>
      <c r="M5" s="29" t="n"/>
      <c r="N5" s="29" t="n"/>
      <c r="O5" s="30" t="inlineStr">
        <is>
          <t>DEAL</t>
        </is>
      </c>
    </row>
    <row r="6">
      <c r="A6" s="27" t="inlineStr">
        <is>
          <t>3500.05</t>
        </is>
      </c>
      <c r="B6" s="28" t="inlineStr">
        <is>
          <t>Catering</t>
        </is>
      </c>
      <c r="C6" s="27" t="inlineStr">
        <is>
          <t>[DEAL]</t>
        </is>
      </c>
      <c r="D6" s="29" t="n"/>
      <c r="E6" s="29" t="n"/>
      <c r="F6" s="29" t="n"/>
      <c r="G6" s="29" t="n"/>
      <c r="H6" s="29" t="n"/>
      <c r="I6" s="29" t="n"/>
      <c r="J6" s="29" t="n"/>
      <c r="K6" s="29" t="n"/>
      <c r="L6" s="29" t="n"/>
      <c r="M6" s="29" t="n"/>
      <c r="N6" s="29" t="n"/>
      <c r="O6" s="30" t="inlineStr">
        <is>
          <t>DEAL</t>
        </is>
      </c>
    </row>
    <row r="7">
      <c r="A7" s="27" t="inlineStr">
        <is>
          <t>3500.06</t>
        </is>
      </c>
      <c r="B7" s="28" t="inlineStr">
        <is>
          <t>Parking / logistics</t>
        </is>
      </c>
      <c r="C7" s="27" t="inlineStr">
        <is>
          <t>[DEAL]</t>
        </is>
      </c>
      <c r="D7" s="29" t="n"/>
      <c r="E7" s="29" t="n"/>
      <c r="F7" s="29" t="n"/>
      <c r="G7" s="29" t="n"/>
      <c r="H7" s="29" t="n"/>
      <c r="I7" s="29" t="n"/>
      <c r="J7" s="29" t="n"/>
      <c r="K7" s="29" t="n"/>
      <c r="L7" s="29" t="n"/>
      <c r="M7" s="29" t="n"/>
      <c r="N7" s="29" t="n"/>
      <c r="O7" s="30" t="inlineStr">
        <is>
          <t>DEAL</t>
        </is>
      </c>
    </row>
  </sheetData>
  <hyperlinks>
    <hyperlink xmlns:r="http://schemas.openxmlformats.org/officeDocument/2006/relationships" ref="K2" r:id="rId1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0" customWidth="1" min="3" max="3"/>
    <col width="14" customWidth="1" min="4" max="4"/>
    <col width="12" customWidth="1" min="5" max="5"/>
    <col width="12" customWidth="1" min="6" max="6"/>
    <col width="10" customWidth="1" min="7" max="7"/>
    <col width="12" customWidth="1" min="8" max="8"/>
    <col width="20" customWidth="1" min="9" max="9"/>
    <col width="28" customWidth="1" min="10" max="10"/>
    <col width="11" customWidth="1" min="11" max="11"/>
    <col width="35" customWidth="1" min="12" max="12"/>
    <col width="35" customWidth="1" min="13" max="13"/>
    <col width="12" customWidth="1" min="14" max="14"/>
    <col width="14" customWidth="1" min="15" max="15"/>
  </cols>
  <sheetData>
    <row r="1">
      <c r="A1" s="2" t="inlineStr">
        <is>
          <t>Account No</t>
        </is>
      </c>
      <c r="B1" s="2" t="inlineStr">
        <is>
          <t>Description</t>
        </is>
      </c>
      <c r="C1" s="2" t="inlineStr">
        <is>
          <t>Amount</t>
        </is>
      </c>
      <c r="D1" s="2" t="inlineStr">
        <is>
          <t>Unit Type</t>
        </is>
      </c>
      <c r="E1" s="2" t="inlineStr">
        <is>
          <t>Rate</t>
        </is>
      </c>
      <c r="F1" s="2" t="inlineStr">
        <is>
          <t>Subtotal</t>
        </is>
      </c>
      <c r="G1" s="2" t="inlineStr">
        <is>
          <t>Fringe %</t>
        </is>
      </c>
      <c r="H1" s="2" t="inlineStr">
        <is>
          <t>Total</t>
        </is>
      </c>
      <c r="I1" s="2" t="inlineStr">
        <is>
          <t>Vendor</t>
        </is>
      </c>
      <c r="J1" s="2" t="inlineStr">
        <is>
          <t>Vendor URL</t>
        </is>
      </c>
      <c r="K1" s="2" t="inlineStr">
        <is>
          <t>Script Page</t>
        </is>
      </c>
      <c r="L1" s="2" t="inlineStr">
        <is>
          <t>Script Quote</t>
        </is>
      </c>
      <c r="M1" s="2" t="inlineStr">
        <is>
          <t>Notes</t>
        </is>
      </c>
      <c r="N1" s="2" t="inlineStr">
        <is>
          <t>Confidence</t>
        </is>
      </c>
      <c r="O1" s="2" t="inlineStr">
        <is>
          <t>Populated By</t>
        </is>
      </c>
    </row>
    <row r="2">
      <c r="A2" s="27" t="inlineStr">
        <is>
          <t>3600.01</t>
        </is>
      </c>
      <c r="B2" s="28" t="inlineStr">
        <is>
          <t>Transportation Coordinator</t>
        </is>
      </c>
      <c r="C2" s="27" t="inlineStr">
        <is>
          <t>[SCHEDULE]</t>
        </is>
      </c>
      <c r="D2" s="29" t="n"/>
      <c r="E2" s="29" t="n"/>
      <c r="F2" s="29" t="n"/>
      <c r="G2" s="29" t="n"/>
      <c r="H2" s="29" t="n"/>
      <c r="I2" s="29" t="n"/>
      <c r="J2" s="29" t="n"/>
      <c r="K2" s="29" t="n"/>
      <c r="L2" s="29" t="n"/>
      <c r="M2" s="29" t="n"/>
      <c r="N2" s="29" t="n"/>
      <c r="O2" s="36" t="inlineStr">
        <is>
          <t>SCHEDULE</t>
        </is>
      </c>
    </row>
    <row r="3">
      <c r="A3" s="27" t="inlineStr">
        <is>
          <t>3600.02</t>
        </is>
      </c>
      <c r="B3" s="28" t="inlineStr">
        <is>
          <t>Captain Driver</t>
        </is>
      </c>
      <c r="C3" s="27" t="inlineStr">
        <is>
          <t>[SCHEDULE]</t>
        </is>
      </c>
      <c r="D3" s="29" t="n"/>
      <c r="E3" s="29" t="n"/>
      <c r="F3" s="29" t="n"/>
      <c r="G3" s="29" t="n"/>
      <c r="H3" s="29" t="n"/>
      <c r="I3" s="29" t="n"/>
      <c r="J3" s="29" t="n"/>
      <c r="K3" s="29" t="n"/>
      <c r="L3" s="29" t="n"/>
      <c r="M3" s="29" t="n"/>
      <c r="N3" s="29" t="n"/>
      <c r="O3" s="36" t="inlineStr">
        <is>
          <t>SCHEDULE</t>
        </is>
      </c>
    </row>
    <row r="4">
      <c r="A4" s="27" t="inlineStr">
        <is>
          <t>3600.03</t>
        </is>
      </c>
      <c r="B4" s="28" t="inlineStr">
        <is>
          <t>Drivers</t>
        </is>
      </c>
      <c r="C4" s="27" t="inlineStr">
        <is>
          <t>[SCHEDULE]</t>
        </is>
      </c>
      <c r="D4" s="29" t="n"/>
      <c r="E4" s="29" t="n"/>
      <c r="F4" s="29" t="n"/>
      <c r="G4" s="29" t="n"/>
      <c r="H4" s="29" t="n"/>
      <c r="I4" s="29" t="n"/>
      <c r="J4" s="29" t="n"/>
      <c r="K4" s="29" t="n"/>
      <c r="L4" s="29" t="n"/>
      <c r="M4" s="29" t="n"/>
      <c r="N4" s="29" t="n"/>
      <c r="O4" s="36" t="inlineStr">
        <is>
          <t>SCHEDULE</t>
        </is>
      </c>
    </row>
    <row r="5">
      <c r="A5" s="27" t="inlineStr">
        <is>
          <t>3600.04</t>
        </is>
      </c>
      <c r="B5" s="28" t="inlineStr">
        <is>
          <t>Production vehicles (trucks / vans)</t>
        </is>
      </c>
      <c r="C5" s="27" t="inlineStr">
        <is>
          <t>[DEAL]</t>
        </is>
      </c>
      <c r="D5" s="29" t="n"/>
      <c r="E5" s="29" t="n"/>
      <c r="F5" s="29" t="n"/>
      <c r="G5" s="29" t="n"/>
      <c r="H5" s="29" t="n"/>
      <c r="I5" s="29" t="n"/>
      <c r="J5" s="29" t="n"/>
      <c r="K5" s="29" t="n"/>
      <c r="L5" s="29" t="n"/>
      <c r="M5" s="29" t="n"/>
      <c r="N5" s="29" t="n"/>
      <c r="O5" s="30" t="inlineStr">
        <is>
          <t>DEAL</t>
        </is>
      </c>
    </row>
    <row r="6">
      <c r="A6" s="27" t="inlineStr">
        <is>
          <t>3600.05</t>
        </is>
      </c>
      <c r="B6" s="28" t="inlineStr">
        <is>
          <t>Honeywagon / basecamp</t>
        </is>
      </c>
      <c r="C6" s="27" t="inlineStr">
        <is>
          <t>[DEAL]</t>
        </is>
      </c>
      <c r="D6" s="29" t="n"/>
      <c r="E6" s="29" t="n"/>
      <c r="F6" s="29" t="n"/>
      <c r="G6" s="29" t="n"/>
      <c r="H6" s="29" t="n"/>
      <c r="I6" s="29" t="n"/>
      <c r="J6" s="29" t="n"/>
      <c r="K6" s="29" t="n"/>
      <c r="L6" s="29" t="n"/>
      <c r="M6" s="29" t="n"/>
      <c r="N6" s="29" t="n"/>
      <c r="O6" s="30" t="inlineStr">
        <is>
          <t>DEAL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0" customWidth="1" min="3" max="3"/>
    <col width="14" customWidth="1" min="4" max="4"/>
    <col width="12" customWidth="1" min="5" max="5"/>
    <col width="12" customWidth="1" min="6" max="6"/>
    <col width="10" customWidth="1" min="7" max="7"/>
    <col width="12" customWidth="1" min="8" max="8"/>
    <col width="20" customWidth="1" min="9" max="9"/>
    <col width="28" customWidth="1" min="10" max="10"/>
    <col width="11" customWidth="1" min="11" max="11"/>
    <col width="35" customWidth="1" min="12" max="12"/>
    <col width="35" customWidth="1" min="13" max="13"/>
    <col width="12" customWidth="1" min="14" max="14"/>
    <col width="14" customWidth="1" min="15" max="15"/>
  </cols>
  <sheetData>
    <row r="1">
      <c r="A1" s="2" t="inlineStr">
        <is>
          <t>Account No</t>
        </is>
      </c>
      <c r="B1" s="2" t="inlineStr">
        <is>
          <t>Description</t>
        </is>
      </c>
      <c r="C1" s="2" t="inlineStr">
        <is>
          <t>Amount</t>
        </is>
      </c>
      <c r="D1" s="2" t="inlineStr">
        <is>
          <t>Unit Type</t>
        </is>
      </c>
      <c r="E1" s="2" t="inlineStr">
        <is>
          <t>Rate</t>
        </is>
      </c>
      <c r="F1" s="2" t="inlineStr">
        <is>
          <t>Subtotal</t>
        </is>
      </c>
      <c r="G1" s="2" t="inlineStr">
        <is>
          <t>Fringe %</t>
        </is>
      </c>
      <c r="H1" s="2" t="inlineStr">
        <is>
          <t>Total</t>
        </is>
      </c>
      <c r="I1" s="2" t="inlineStr">
        <is>
          <t>Vendor</t>
        </is>
      </c>
      <c r="J1" s="2" t="inlineStr">
        <is>
          <t>Vendor URL</t>
        </is>
      </c>
      <c r="K1" s="2" t="inlineStr">
        <is>
          <t>Script Page</t>
        </is>
      </c>
      <c r="L1" s="2" t="inlineStr">
        <is>
          <t>Script Quote</t>
        </is>
      </c>
      <c r="M1" s="2" t="inlineStr">
        <is>
          <t>Notes</t>
        </is>
      </c>
      <c r="N1" s="2" t="inlineStr">
        <is>
          <t>Confidence</t>
        </is>
      </c>
      <c r="O1" s="2" t="inlineStr">
        <is>
          <t>Populated By</t>
        </is>
      </c>
    </row>
    <row r="2">
      <c r="A2" s="27" t="inlineStr">
        <is>
          <t>3800.01</t>
        </is>
      </c>
      <c r="B2" s="28" t="inlineStr">
        <is>
          <t>Stage rental</t>
        </is>
      </c>
      <c r="C2" s="27" t="inlineStr">
        <is>
          <t>[DEAL]</t>
        </is>
      </c>
      <c r="D2" s="29" t="n"/>
      <c r="E2" s="29" t="n"/>
      <c r="F2" s="29" t="n"/>
      <c r="G2" s="29" t="n"/>
      <c r="H2" s="29" t="n"/>
      <c r="I2" s="29" t="n"/>
      <c r="J2" s="29" t="n"/>
      <c r="K2" s="29" t="n"/>
      <c r="L2" s="29" t="n"/>
      <c r="M2" s="29" t="n"/>
      <c r="N2" s="29" t="n"/>
      <c r="O2" s="30" t="inlineStr">
        <is>
          <t>DEAL</t>
        </is>
      </c>
    </row>
    <row r="3">
      <c r="A3" s="27" t="inlineStr">
        <is>
          <t>3800.02</t>
        </is>
      </c>
      <c r="B3" s="28" t="inlineStr">
        <is>
          <t>Back lot rental</t>
        </is>
      </c>
      <c r="C3" s="27" t="inlineStr">
        <is>
          <t>[DEAL]</t>
        </is>
      </c>
      <c r="D3" s="29" t="n"/>
      <c r="E3" s="29" t="n"/>
      <c r="F3" s="29" t="n"/>
      <c r="G3" s="29" t="n"/>
      <c r="H3" s="29" t="n"/>
      <c r="I3" s="29" t="n"/>
      <c r="J3" s="29" t="n"/>
      <c r="K3" s="29" t="n"/>
      <c r="L3" s="29" t="n"/>
      <c r="M3" s="29" t="n"/>
      <c r="N3" s="29" t="n"/>
      <c r="O3" s="30" t="inlineStr">
        <is>
          <t>DEAL</t>
        </is>
      </c>
    </row>
    <row r="4">
      <c r="A4" s="27" t="inlineStr">
        <is>
          <t>3800.03</t>
        </is>
      </c>
      <c r="B4" s="28" t="inlineStr">
        <is>
          <t>Electric power (stage)</t>
        </is>
      </c>
      <c r="C4" s="27" t="inlineStr">
        <is>
          <t>[DEAL]</t>
        </is>
      </c>
      <c r="D4" s="29" t="n"/>
      <c r="E4" s="29" t="n"/>
      <c r="F4" s="29" t="n"/>
      <c r="G4" s="29" t="n"/>
      <c r="H4" s="29" t="n"/>
      <c r="I4" s="29" t="n"/>
      <c r="J4" s="29" t="n"/>
      <c r="K4" s="29" t="n"/>
      <c r="L4" s="29" t="n"/>
      <c r="M4" s="29" t="n"/>
      <c r="N4" s="29" t="n"/>
      <c r="O4" s="30" t="inlineStr">
        <is>
          <t>DEAL</t>
        </is>
      </c>
    </row>
    <row r="5">
      <c r="A5" s="27" t="inlineStr">
        <is>
          <t>3800.04</t>
        </is>
      </c>
      <c r="B5" s="28" t="inlineStr">
        <is>
          <t>Heating / AC</t>
        </is>
      </c>
      <c r="C5" s="27" t="inlineStr">
        <is>
          <t>[DEAL]</t>
        </is>
      </c>
      <c r="D5" s="29" t="n"/>
      <c r="E5" s="29" t="n"/>
      <c r="F5" s="29" t="n"/>
      <c r="G5" s="29" t="n"/>
      <c r="H5" s="29" t="n"/>
      <c r="I5" s="29" t="n"/>
      <c r="J5" s="29" t="n"/>
      <c r="K5" s="29" t="n"/>
      <c r="L5" s="29" t="n"/>
      <c r="M5" s="29" t="n"/>
      <c r="N5" s="29" t="n"/>
      <c r="O5" s="30" t="inlineStr">
        <is>
          <t>DEAL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0" customWidth="1" min="3" max="3"/>
    <col width="14" customWidth="1" min="4" max="4"/>
    <col width="12" customWidth="1" min="5" max="5"/>
    <col width="12" customWidth="1" min="6" max="6"/>
    <col width="10" customWidth="1" min="7" max="7"/>
    <col width="12" customWidth="1" min="8" max="8"/>
    <col width="20" customWidth="1" min="9" max="9"/>
    <col width="28" customWidth="1" min="10" max="10"/>
    <col width="11" customWidth="1" min="11" max="11"/>
    <col width="35" customWidth="1" min="12" max="12"/>
    <col width="35" customWidth="1" min="13" max="13"/>
    <col width="12" customWidth="1" min="14" max="14"/>
    <col width="14" customWidth="1" min="15" max="15"/>
  </cols>
  <sheetData>
    <row r="1">
      <c r="A1" s="2" t="inlineStr">
        <is>
          <t>Account No</t>
        </is>
      </c>
      <c r="B1" s="2" t="inlineStr">
        <is>
          <t>Description</t>
        </is>
      </c>
      <c r="C1" s="2" t="inlineStr">
        <is>
          <t>Amount</t>
        </is>
      </c>
      <c r="D1" s="2" t="inlineStr">
        <is>
          <t>Unit Type</t>
        </is>
      </c>
      <c r="E1" s="2" t="inlineStr">
        <is>
          <t>Rate</t>
        </is>
      </c>
      <c r="F1" s="2" t="inlineStr">
        <is>
          <t>Subtotal</t>
        </is>
      </c>
      <c r="G1" s="2" t="inlineStr">
        <is>
          <t>Fringe %</t>
        </is>
      </c>
      <c r="H1" s="2" t="inlineStr">
        <is>
          <t>Total</t>
        </is>
      </c>
      <c r="I1" s="2" t="inlineStr">
        <is>
          <t>Vendor</t>
        </is>
      </c>
      <c r="J1" s="2" t="inlineStr">
        <is>
          <t>Vendor URL</t>
        </is>
      </c>
      <c r="K1" s="2" t="inlineStr">
        <is>
          <t>Script Page</t>
        </is>
      </c>
      <c r="L1" s="2" t="inlineStr">
        <is>
          <t>Script Quote</t>
        </is>
      </c>
      <c r="M1" s="2" t="inlineStr">
        <is>
          <t>Notes</t>
        </is>
      </c>
      <c r="N1" s="2" t="inlineStr">
        <is>
          <t>Confidence</t>
        </is>
      </c>
      <c r="O1" s="2" t="inlineStr">
        <is>
          <t>Populated By</t>
        </is>
      </c>
    </row>
    <row r="2">
      <c r="A2" s="27" t="inlineStr">
        <is>
          <t>3900.01</t>
        </is>
      </c>
      <c r="B2" s="28" t="inlineStr">
        <is>
          <t>Extras Casting fee</t>
        </is>
      </c>
      <c r="C2" s="27" t="inlineStr">
        <is>
          <t>[DEAL]</t>
        </is>
      </c>
      <c r="D2" s="29" t="n"/>
      <c r="E2" s="29" t="n"/>
      <c r="F2" s="29" t="n"/>
      <c r="G2" s="29" t="n"/>
      <c r="H2" s="29" t="n"/>
      <c r="I2" s="29" t="n"/>
      <c r="J2" s="29" t="n"/>
      <c r="K2" s="29" t="n"/>
      <c r="L2" s="29" t="n"/>
      <c r="M2" s="29" t="n"/>
      <c r="N2" s="29" t="n"/>
      <c r="O2" s="30" t="inlineStr">
        <is>
          <t>DEAL</t>
        </is>
      </c>
    </row>
    <row r="3">
      <c r="A3" s="27" t="inlineStr">
        <is>
          <t>3900.02</t>
        </is>
      </c>
      <c r="B3" s="28" t="inlineStr">
        <is>
          <t>Stand-ins</t>
        </is>
      </c>
      <c r="C3" s="27" t="inlineStr">
        <is>
          <t>[SCHEDULE]</t>
        </is>
      </c>
      <c r="D3" s="29" t="n"/>
      <c r="E3" s="29" t="n"/>
      <c r="F3" s="29" t="n"/>
      <c r="G3" s="29" t="n"/>
      <c r="H3" s="29" t="n"/>
      <c r="I3" s="29" t="n"/>
      <c r="J3" s="29" t="n"/>
      <c r="K3" s="29" t="n"/>
      <c r="L3" s="29" t="n"/>
      <c r="M3" s="29" t="n"/>
      <c r="N3" s="29" t="n"/>
      <c r="O3" s="36" t="inlineStr">
        <is>
          <t>SCHEDULE</t>
        </is>
      </c>
    </row>
    <row r="4">
      <c r="A4" s="27" t="inlineStr">
        <is>
          <t>3900.03</t>
        </is>
      </c>
      <c r="B4" s="28" t="inlineStr">
        <is>
          <t>Welfare Worker / Teacher (minors)</t>
        </is>
      </c>
      <c r="C4" s="27" t="inlineStr">
        <is>
          <t>[DEAL]</t>
        </is>
      </c>
      <c r="D4" s="29" t="n"/>
      <c r="E4" s="29" t="n"/>
      <c r="F4" s="29" t="n"/>
      <c r="G4" s="29" t="n"/>
      <c r="H4" s="29" t="n"/>
      <c r="I4" s="29" t="n"/>
      <c r="J4" s="29" t="n"/>
      <c r="K4" s="29" t="n"/>
      <c r="L4" s="29" t="n"/>
      <c r="M4" s="29" t="n"/>
      <c r="N4" s="29" t="n"/>
      <c r="O4" s="30" t="inlineStr">
        <is>
          <t>DEAL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0" customWidth="1" min="3" max="3"/>
    <col width="14" customWidth="1" min="4" max="4"/>
    <col width="12" customWidth="1" min="5" max="5"/>
    <col width="12" customWidth="1" min="6" max="6"/>
    <col width="10" customWidth="1" min="7" max="7"/>
    <col width="12" customWidth="1" min="8" max="8"/>
    <col width="20" customWidth="1" min="9" max="9"/>
    <col width="28" customWidth="1" min="10" max="10"/>
    <col width="11" customWidth="1" min="11" max="11"/>
    <col width="35" customWidth="1" min="12" max="12"/>
    <col width="35" customWidth="1" min="13" max="13"/>
    <col width="12" customWidth="1" min="14" max="14"/>
    <col width="14" customWidth="1" min="15" max="15"/>
  </cols>
  <sheetData>
    <row r="1">
      <c r="A1" s="2" t="inlineStr">
        <is>
          <t>Account No</t>
        </is>
      </c>
      <c r="B1" s="2" t="inlineStr">
        <is>
          <t>Description</t>
        </is>
      </c>
      <c r="C1" s="2" t="inlineStr">
        <is>
          <t>Amount</t>
        </is>
      </c>
      <c r="D1" s="2" t="inlineStr">
        <is>
          <t>Unit Type</t>
        </is>
      </c>
      <c r="E1" s="2" t="inlineStr">
        <is>
          <t>Rate</t>
        </is>
      </c>
      <c r="F1" s="2" t="inlineStr">
        <is>
          <t>Subtotal</t>
        </is>
      </c>
      <c r="G1" s="2" t="inlineStr">
        <is>
          <t>Fringe %</t>
        </is>
      </c>
      <c r="H1" s="2" t="inlineStr">
        <is>
          <t>Total</t>
        </is>
      </c>
      <c r="I1" s="2" t="inlineStr">
        <is>
          <t>Vendor</t>
        </is>
      </c>
      <c r="J1" s="2" t="inlineStr">
        <is>
          <t>Vendor URL</t>
        </is>
      </c>
      <c r="K1" s="2" t="inlineStr">
        <is>
          <t>Script Page</t>
        </is>
      </c>
      <c r="L1" s="2" t="inlineStr">
        <is>
          <t>Script Quote</t>
        </is>
      </c>
      <c r="M1" s="2" t="inlineStr">
        <is>
          <t>Notes</t>
        </is>
      </c>
      <c r="N1" s="2" t="inlineStr">
        <is>
          <t>Confidence</t>
        </is>
      </c>
      <c r="O1" s="2" t="inlineStr">
        <is>
          <t>Populated By</t>
        </is>
      </c>
    </row>
    <row r="2">
      <c r="A2" s="27" t="inlineStr">
        <is>
          <t>5100.01</t>
        </is>
      </c>
      <c r="B2" s="28" t="inlineStr">
        <is>
          <t>Post Production Supervisor</t>
        </is>
      </c>
      <c r="C2" s="27" t="inlineStr">
        <is>
          <t>[DEAL]</t>
        </is>
      </c>
      <c r="D2" s="29" t="n"/>
      <c r="E2" s="29" t="n"/>
      <c r="F2" s="29" t="n"/>
      <c r="G2" s="29" t="n"/>
      <c r="H2" s="29" t="n"/>
      <c r="I2" s="29" t="n"/>
      <c r="J2" s="29" t="n"/>
      <c r="K2" s="29" t="n"/>
      <c r="L2" s="29" t="n"/>
      <c r="M2" s="29" t="n"/>
      <c r="N2" s="29" t="n"/>
      <c r="O2" s="30" t="inlineStr">
        <is>
          <t>DEAL</t>
        </is>
      </c>
    </row>
    <row r="3">
      <c r="A3" s="27" t="inlineStr">
        <is>
          <t>5100.02</t>
        </is>
      </c>
      <c r="B3" s="28" t="inlineStr">
        <is>
          <t>Editor</t>
        </is>
      </c>
      <c r="C3" s="27" t="inlineStr">
        <is>
          <t>[DEAL]</t>
        </is>
      </c>
      <c r="D3" s="29" t="n"/>
      <c r="E3" s="29" t="n"/>
      <c r="F3" s="29" t="n"/>
      <c r="G3" s="29" t="n"/>
      <c r="H3" s="29" t="n"/>
      <c r="I3" s="29" t="n"/>
      <c r="J3" s="29" t="n"/>
      <c r="K3" s="29" t="n"/>
      <c r="L3" s="29" t="n"/>
      <c r="M3" s="29" t="n"/>
      <c r="N3" s="29" t="n"/>
      <c r="O3" s="30" t="inlineStr">
        <is>
          <t>DEAL</t>
        </is>
      </c>
    </row>
    <row r="4">
      <c r="A4" s="27" t="inlineStr">
        <is>
          <t>5100.03</t>
        </is>
      </c>
      <c r="B4" s="28" t="inlineStr">
        <is>
          <t>Assistant Editor(s)</t>
        </is>
      </c>
      <c r="C4" s="27" t="inlineStr">
        <is>
          <t>[DEAL]</t>
        </is>
      </c>
      <c r="D4" s="29" t="n"/>
      <c r="E4" s="29" t="n"/>
      <c r="F4" s="29" t="n"/>
      <c r="G4" s="29" t="n"/>
      <c r="H4" s="29" t="n"/>
      <c r="I4" s="29" t="n"/>
      <c r="J4" s="29" t="n"/>
      <c r="K4" s="29" t="n"/>
      <c r="L4" s="29" t="n"/>
      <c r="M4" s="29" t="n"/>
      <c r="N4" s="29" t="n"/>
      <c r="O4" s="30" t="inlineStr">
        <is>
          <t>DEAL</t>
        </is>
      </c>
    </row>
    <row r="5">
      <c r="A5" s="27" t="inlineStr">
        <is>
          <t>5100.04</t>
        </is>
      </c>
      <c r="B5" s="28" t="inlineStr">
        <is>
          <t>Editing Room / Avid rental</t>
        </is>
      </c>
      <c r="C5" s="27" t="inlineStr">
        <is>
          <t>[DEAL]</t>
        </is>
      </c>
      <c r="D5" s="29" t="n"/>
      <c r="E5" s="29" t="n"/>
      <c r="F5" s="29" t="n"/>
      <c r="G5" s="29" t="n"/>
      <c r="H5" s="29" t="n"/>
      <c r="I5" s="29" t="n"/>
      <c r="J5" s="29" t="n"/>
      <c r="K5" s="29" t="n"/>
      <c r="L5" s="29" t="n"/>
      <c r="M5" s="29" t="n"/>
      <c r="N5" s="29" t="n"/>
      <c r="O5" s="30" t="inlineStr">
        <is>
          <t>DEAL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0" customWidth="1" min="3" max="3"/>
    <col width="14" customWidth="1" min="4" max="4"/>
    <col width="12" customWidth="1" min="5" max="5"/>
    <col width="12" customWidth="1" min="6" max="6"/>
    <col width="10" customWidth="1" min="7" max="7"/>
    <col width="12" customWidth="1" min="8" max="8"/>
    <col width="20" customWidth="1" min="9" max="9"/>
    <col width="28" customWidth="1" min="10" max="10"/>
    <col width="11" customWidth="1" min="11" max="11"/>
    <col width="35" customWidth="1" min="12" max="12"/>
    <col width="35" customWidth="1" min="13" max="13"/>
    <col width="12" customWidth="1" min="14" max="14"/>
    <col width="14" customWidth="1" min="15" max="15"/>
  </cols>
  <sheetData>
    <row r="1">
      <c r="A1" s="2" t="inlineStr">
        <is>
          <t>Account No</t>
        </is>
      </c>
      <c r="B1" s="2" t="inlineStr">
        <is>
          <t>Description</t>
        </is>
      </c>
      <c r="C1" s="2" t="inlineStr">
        <is>
          <t>Amount</t>
        </is>
      </c>
      <c r="D1" s="2" t="inlineStr">
        <is>
          <t>Unit Type</t>
        </is>
      </c>
      <c r="E1" s="2" t="inlineStr">
        <is>
          <t>Rate</t>
        </is>
      </c>
      <c r="F1" s="2" t="inlineStr">
        <is>
          <t>Subtotal</t>
        </is>
      </c>
      <c r="G1" s="2" t="inlineStr">
        <is>
          <t>Fringe %</t>
        </is>
      </c>
      <c r="H1" s="2" t="inlineStr">
        <is>
          <t>Total</t>
        </is>
      </c>
      <c r="I1" s="2" t="inlineStr">
        <is>
          <t>Vendor</t>
        </is>
      </c>
      <c r="J1" s="2" t="inlineStr">
        <is>
          <t>Vendor URL</t>
        </is>
      </c>
      <c r="K1" s="2" t="inlineStr">
        <is>
          <t>Script Page</t>
        </is>
      </c>
      <c r="L1" s="2" t="inlineStr">
        <is>
          <t>Script Quote</t>
        </is>
      </c>
      <c r="M1" s="2" t="inlineStr">
        <is>
          <t>Notes</t>
        </is>
      </c>
      <c r="N1" s="2" t="inlineStr">
        <is>
          <t>Confidence</t>
        </is>
      </c>
      <c r="O1" s="2" t="inlineStr">
        <is>
          <t>Populated By</t>
        </is>
      </c>
    </row>
    <row r="2">
      <c r="A2" s="27" t="inlineStr">
        <is>
          <t>5200.01</t>
        </is>
      </c>
      <c r="B2" s="28" t="inlineStr">
        <is>
          <t>Color grading &amp; Digital Intermediate</t>
        </is>
      </c>
      <c r="C2" s="27" t="inlineStr">
        <is>
          <t>[DEAL]</t>
        </is>
      </c>
      <c r="D2" s="29" t="n"/>
      <c r="E2" s="29" t="n"/>
      <c r="F2" s="29" t="n"/>
      <c r="G2" s="29" t="n"/>
      <c r="H2" s="29" t="n"/>
      <c r="I2" s="29" t="n"/>
      <c r="J2" s="29" t="n"/>
      <c r="K2" s="29" t="n"/>
      <c r="L2" s="29" t="n"/>
      <c r="M2" s="29" t="n"/>
      <c r="N2" s="29" t="n"/>
      <c r="O2" s="30" t="inlineStr">
        <is>
          <t>DEAL</t>
        </is>
      </c>
    </row>
    <row r="3">
      <c r="A3" s="27" t="inlineStr">
        <is>
          <t>5200.02</t>
        </is>
      </c>
      <c r="B3" s="28" t="inlineStr">
        <is>
          <t>Digital deliverables</t>
        </is>
      </c>
      <c r="C3" s="27" t="inlineStr">
        <is>
          <t>[DEAL]</t>
        </is>
      </c>
      <c r="D3" s="29" t="n"/>
      <c r="E3" s="29" t="n"/>
      <c r="F3" s="29" t="n"/>
      <c r="G3" s="29" t="n"/>
      <c r="H3" s="29" t="n"/>
      <c r="I3" s="29" t="n"/>
      <c r="J3" s="29" t="n"/>
      <c r="K3" s="29" t="n"/>
      <c r="L3" s="29" t="n"/>
      <c r="M3" s="29" t="n"/>
      <c r="N3" s="29" t="n"/>
      <c r="O3" s="30" t="inlineStr">
        <is>
          <t>DEAL</t>
        </is>
      </c>
    </row>
    <row r="4">
      <c r="A4" s="27" t="inlineStr">
        <is>
          <t>5200.03</t>
        </is>
      </c>
      <c r="B4" s="28" t="inlineStr">
        <is>
          <t>Archival / backup</t>
        </is>
      </c>
      <c r="C4" s="27" t="inlineStr">
        <is>
          <t>[DEAL]</t>
        </is>
      </c>
      <c r="D4" s="29" t="n"/>
      <c r="E4" s="29" t="n"/>
      <c r="F4" s="29" t="n"/>
      <c r="G4" s="29" t="n"/>
      <c r="H4" s="29" t="n"/>
      <c r="I4" s="29" t="n"/>
      <c r="J4" s="29" t="n"/>
      <c r="K4" s="29" t="n"/>
      <c r="L4" s="29" t="n"/>
      <c r="M4" s="29" t="n"/>
      <c r="N4" s="29" t="n"/>
      <c r="O4" s="30" t="inlineStr">
        <is>
          <t>DEAL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0" customWidth="1" min="3" max="3"/>
    <col width="14" customWidth="1" min="4" max="4"/>
    <col width="12" customWidth="1" min="5" max="5"/>
    <col width="12" customWidth="1" min="6" max="6"/>
    <col width="10" customWidth="1" min="7" max="7"/>
    <col width="12" customWidth="1" min="8" max="8"/>
    <col width="20" customWidth="1" min="9" max="9"/>
    <col width="28" customWidth="1" min="10" max="10"/>
    <col width="11" customWidth="1" min="11" max="11"/>
    <col width="35" customWidth="1" min="12" max="12"/>
    <col width="35" customWidth="1" min="13" max="13"/>
    <col width="12" customWidth="1" min="14" max="14"/>
    <col width="14" customWidth="1" min="15" max="15"/>
  </cols>
  <sheetData>
    <row r="1">
      <c r="A1" s="2" t="inlineStr">
        <is>
          <t>Account No</t>
        </is>
      </c>
      <c r="B1" s="2" t="inlineStr">
        <is>
          <t>Description</t>
        </is>
      </c>
      <c r="C1" s="2" t="inlineStr">
        <is>
          <t>Amount</t>
        </is>
      </c>
      <c r="D1" s="2" t="inlineStr">
        <is>
          <t>Unit Type</t>
        </is>
      </c>
      <c r="E1" s="2" t="inlineStr">
        <is>
          <t>Rate</t>
        </is>
      </c>
      <c r="F1" s="2" t="inlineStr">
        <is>
          <t>Subtotal</t>
        </is>
      </c>
      <c r="G1" s="2" t="inlineStr">
        <is>
          <t>Fringe %</t>
        </is>
      </c>
      <c r="H1" s="2" t="inlineStr">
        <is>
          <t>Total</t>
        </is>
      </c>
      <c r="I1" s="2" t="inlineStr">
        <is>
          <t>Vendor</t>
        </is>
      </c>
      <c r="J1" s="2" t="inlineStr">
        <is>
          <t>Vendor URL</t>
        </is>
      </c>
      <c r="K1" s="2" t="inlineStr">
        <is>
          <t>Script Page</t>
        </is>
      </c>
      <c r="L1" s="2" t="inlineStr">
        <is>
          <t>Script Quote</t>
        </is>
      </c>
      <c r="M1" s="2" t="inlineStr">
        <is>
          <t>Notes</t>
        </is>
      </c>
      <c r="N1" s="2" t="inlineStr">
        <is>
          <t>Confidence</t>
        </is>
      </c>
      <c r="O1" s="2" t="inlineStr">
        <is>
          <t>Populated By</t>
        </is>
      </c>
    </row>
    <row r="2">
      <c r="A2" s="27" t="inlineStr">
        <is>
          <t>5300.01</t>
        </is>
      </c>
      <c r="B2" s="28" t="inlineStr">
        <is>
          <t>Sound Designer</t>
        </is>
      </c>
      <c r="C2" s="27" t="inlineStr">
        <is>
          <t>[DEAL]</t>
        </is>
      </c>
      <c r="D2" s="29" t="n"/>
      <c r="E2" s="29" t="n"/>
      <c r="F2" s="29" t="n"/>
      <c r="G2" s="29" t="n"/>
      <c r="H2" s="29" t="n"/>
      <c r="I2" s="29" t="n"/>
      <c r="J2" s="29" t="n"/>
      <c r="K2" s="29" t="n"/>
      <c r="L2" s="29" t="n"/>
      <c r="M2" s="29" t="n"/>
      <c r="N2" s="29" t="n"/>
      <c r="O2" s="30" t="inlineStr">
        <is>
          <t>DEAL</t>
        </is>
      </c>
    </row>
    <row r="3">
      <c r="A3" s="27" t="inlineStr">
        <is>
          <t>5300.02</t>
        </is>
      </c>
      <c r="B3" s="28" t="inlineStr">
        <is>
          <t>Foley Artist + Studio</t>
        </is>
      </c>
      <c r="C3" s="27" t="inlineStr">
        <is>
          <t>[DEAL]</t>
        </is>
      </c>
      <c r="D3" s="29" t="n"/>
      <c r="E3" s="29" t="n"/>
      <c r="F3" s="29" t="n"/>
      <c r="G3" s="29" t="n"/>
      <c r="H3" s="29" t="n"/>
      <c r="I3" s="29" t="n"/>
      <c r="J3" s="29" t="n"/>
      <c r="K3" s="29" t="n"/>
      <c r="L3" s="29" t="n"/>
      <c r="M3" s="29" t="n"/>
      <c r="N3" s="29" t="n"/>
      <c r="O3" s="30" t="inlineStr">
        <is>
          <t>DEAL</t>
        </is>
      </c>
    </row>
    <row r="4">
      <c r="A4" s="27" t="inlineStr">
        <is>
          <t>5300.03</t>
        </is>
      </c>
      <c r="B4" s="28" t="inlineStr">
        <is>
          <t>ADR / Looping</t>
        </is>
      </c>
      <c r="C4" s="27" t="inlineStr">
        <is>
          <t>[DEAL]</t>
        </is>
      </c>
      <c r="D4" s="29" t="n"/>
      <c r="E4" s="29" t="n"/>
      <c r="F4" s="29" t="n"/>
      <c r="G4" s="29" t="n"/>
      <c r="H4" s="29" t="n"/>
      <c r="I4" s="29" t="n"/>
      <c r="J4" s="29" t="n"/>
      <c r="K4" s="29" t="n"/>
      <c r="L4" s="29" t="n"/>
      <c r="M4" s="29" t="n"/>
      <c r="N4" s="29" t="n"/>
      <c r="O4" s="30" t="inlineStr">
        <is>
          <t>DEAL</t>
        </is>
      </c>
    </row>
    <row r="5">
      <c r="A5" s="27" t="inlineStr">
        <is>
          <t>5300.04</t>
        </is>
      </c>
      <c r="B5" s="28" t="inlineStr">
        <is>
          <t>Final Mix</t>
        </is>
      </c>
      <c r="C5" s="27" t="inlineStr">
        <is>
          <t>[DEAL]</t>
        </is>
      </c>
      <c r="D5" s="29" t="n"/>
      <c r="E5" s="29" t="n"/>
      <c r="F5" s="29" t="n"/>
      <c r="G5" s="29" t="n"/>
      <c r="H5" s="29" t="n"/>
      <c r="I5" s="29" t="n"/>
      <c r="J5" s="29" t="n"/>
      <c r="K5" s="29" t="n"/>
      <c r="L5" s="29" t="n"/>
      <c r="M5" s="29" t="n"/>
      <c r="N5" s="29" t="n"/>
      <c r="O5" s="30" t="inlineStr">
        <is>
          <t>DEAL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0" customWidth="1" min="3" max="3"/>
    <col width="14" customWidth="1" min="4" max="4"/>
    <col width="12" customWidth="1" min="5" max="5"/>
    <col width="12" customWidth="1" min="6" max="6"/>
    <col width="10" customWidth="1" min="7" max="7"/>
    <col width="12" customWidth="1" min="8" max="8"/>
    <col width="20" customWidth="1" min="9" max="9"/>
    <col width="28" customWidth="1" min="10" max="10"/>
    <col width="11" customWidth="1" min="11" max="11"/>
    <col width="35" customWidth="1" min="12" max="12"/>
    <col width="35" customWidth="1" min="13" max="13"/>
    <col width="12" customWidth="1" min="14" max="14"/>
    <col width="14" customWidth="1" min="15" max="15"/>
  </cols>
  <sheetData>
    <row r="1">
      <c r="A1" s="2" t="inlineStr">
        <is>
          <t>Account No</t>
        </is>
      </c>
      <c r="B1" s="2" t="inlineStr">
        <is>
          <t>Description</t>
        </is>
      </c>
      <c r="C1" s="2" t="inlineStr">
        <is>
          <t>Amount</t>
        </is>
      </c>
      <c r="D1" s="2" t="inlineStr">
        <is>
          <t>Unit Type</t>
        </is>
      </c>
      <c r="E1" s="2" t="inlineStr">
        <is>
          <t>Rate</t>
        </is>
      </c>
      <c r="F1" s="2" t="inlineStr">
        <is>
          <t>Subtotal</t>
        </is>
      </c>
      <c r="G1" s="2" t="inlineStr">
        <is>
          <t>Fringe %</t>
        </is>
      </c>
      <c r="H1" s="2" t="inlineStr">
        <is>
          <t>Total</t>
        </is>
      </c>
      <c r="I1" s="2" t="inlineStr">
        <is>
          <t>Vendor</t>
        </is>
      </c>
      <c r="J1" s="2" t="inlineStr">
        <is>
          <t>Vendor URL</t>
        </is>
      </c>
      <c r="K1" s="2" t="inlineStr">
        <is>
          <t>Script Page</t>
        </is>
      </c>
      <c r="L1" s="2" t="inlineStr">
        <is>
          <t>Script Quote</t>
        </is>
      </c>
      <c r="M1" s="2" t="inlineStr">
        <is>
          <t>Notes</t>
        </is>
      </c>
      <c r="N1" s="2" t="inlineStr">
        <is>
          <t>Confidence</t>
        </is>
      </c>
      <c r="O1" s="2" t="inlineStr">
        <is>
          <t>Populated By</t>
        </is>
      </c>
    </row>
    <row r="2">
      <c r="A2" s="27" t="inlineStr">
        <is>
          <t>5400.01</t>
        </is>
      </c>
      <c r="B2" s="28" t="inlineStr">
        <is>
          <t>Composer fee</t>
        </is>
      </c>
      <c r="C2" s="27" t="inlineStr">
        <is>
          <t>[DEAL]</t>
        </is>
      </c>
      <c r="D2" s="29" t="n"/>
      <c r="E2" s="29" t="n"/>
      <c r="F2" s="29" t="n"/>
      <c r="G2" s="29" t="n"/>
      <c r="H2" s="29" t="n"/>
      <c r="I2" s="29" t="n"/>
      <c r="J2" s="29" t="n"/>
      <c r="K2" s="29" t="n"/>
      <c r="L2" s="29" t="n"/>
      <c r="M2" s="29" t="n"/>
      <c r="N2" s="29" t="n"/>
      <c r="O2" s="30" t="inlineStr">
        <is>
          <t>DEAL</t>
        </is>
      </c>
    </row>
    <row r="3">
      <c r="A3" s="27" t="inlineStr">
        <is>
          <t>5400.02</t>
        </is>
      </c>
      <c r="B3" s="28" t="inlineStr">
        <is>
          <t>Musicians / orchestration</t>
        </is>
      </c>
      <c r="C3" s="27" t="inlineStr">
        <is>
          <t>[DEAL]</t>
        </is>
      </c>
      <c r="D3" s="29" t="n"/>
      <c r="E3" s="29" t="n"/>
      <c r="F3" s="29" t="n"/>
      <c r="G3" s="29" t="n"/>
      <c r="H3" s="29" t="n"/>
      <c r="I3" s="29" t="n"/>
      <c r="J3" s="29" t="n"/>
      <c r="K3" s="29" t="n"/>
      <c r="L3" s="29" t="n"/>
      <c r="M3" s="29" t="n"/>
      <c r="N3" s="29" t="n"/>
      <c r="O3" s="30" t="inlineStr">
        <is>
          <t>DEAL</t>
        </is>
      </c>
    </row>
    <row r="4">
      <c r="A4" s="27" t="inlineStr">
        <is>
          <t>5400.03</t>
        </is>
      </c>
      <c r="B4" s="28" t="inlineStr">
        <is>
          <t>Music rights / licensing</t>
        </is>
      </c>
      <c r="C4" s="27" t="inlineStr">
        <is>
          <t>[DEAL]</t>
        </is>
      </c>
      <c r="D4" s="29" t="n"/>
      <c r="E4" s="29" t="n"/>
      <c r="F4" s="29" t="n"/>
      <c r="G4" s="29" t="n"/>
      <c r="H4" s="29" t="n"/>
      <c r="I4" s="29" t="n"/>
      <c r="J4" s="29" t="n"/>
      <c r="K4" s="29" t="n"/>
      <c r="L4" s="29" t="n"/>
      <c r="M4" s="29" t="n"/>
      <c r="N4" s="29" t="n"/>
      <c r="O4" s="30" t="inlineStr">
        <is>
          <t>DEAL</t>
        </is>
      </c>
    </row>
    <row r="5">
      <c r="A5" s="27" t="inlineStr">
        <is>
          <t>5400.04</t>
        </is>
      </c>
      <c r="B5" s="28" t="inlineStr">
        <is>
          <t>Score recording studio</t>
        </is>
      </c>
      <c r="C5" s="27" t="inlineStr">
        <is>
          <t>[DEAL]</t>
        </is>
      </c>
      <c r="D5" s="29" t="n"/>
      <c r="E5" s="29" t="n"/>
      <c r="F5" s="29" t="n"/>
      <c r="G5" s="29" t="n"/>
      <c r="H5" s="29" t="n"/>
      <c r="I5" s="29" t="n"/>
      <c r="J5" s="29" t="n"/>
      <c r="K5" s="29" t="n"/>
      <c r="L5" s="29" t="n"/>
      <c r="M5" s="29" t="n"/>
      <c r="N5" s="29" t="n"/>
      <c r="O5" s="30" t="inlineStr">
        <is>
          <t>DEAL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0" customWidth="1" min="3" max="3"/>
    <col width="14" customWidth="1" min="4" max="4"/>
    <col width="12" customWidth="1" min="5" max="5"/>
    <col width="12" customWidth="1" min="6" max="6"/>
    <col width="10" customWidth="1" min="7" max="7"/>
    <col width="12" customWidth="1" min="8" max="8"/>
    <col width="20" customWidth="1" min="9" max="9"/>
    <col width="28" customWidth="1" min="10" max="10"/>
    <col width="11" customWidth="1" min="11" max="11"/>
    <col width="35" customWidth="1" min="12" max="12"/>
    <col width="35" customWidth="1" min="13" max="13"/>
    <col width="12" customWidth="1" min="14" max="14"/>
    <col width="14" customWidth="1" min="15" max="15"/>
  </cols>
  <sheetData>
    <row r="1">
      <c r="A1" s="2" t="inlineStr">
        <is>
          <t>Account No</t>
        </is>
      </c>
      <c r="B1" s="2" t="inlineStr">
        <is>
          <t>Description</t>
        </is>
      </c>
      <c r="C1" s="2" t="inlineStr">
        <is>
          <t>Amount</t>
        </is>
      </c>
      <c r="D1" s="2" t="inlineStr">
        <is>
          <t>Unit Type</t>
        </is>
      </c>
      <c r="E1" s="2" t="inlineStr">
        <is>
          <t>Rate</t>
        </is>
      </c>
      <c r="F1" s="2" t="inlineStr">
        <is>
          <t>Subtotal</t>
        </is>
      </c>
      <c r="G1" s="2" t="inlineStr">
        <is>
          <t>Fringe %</t>
        </is>
      </c>
      <c r="H1" s="2" t="inlineStr">
        <is>
          <t>Total</t>
        </is>
      </c>
      <c r="I1" s="2" t="inlineStr">
        <is>
          <t>Vendor</t>
        </is>
      </c>
      <c r="J1" s="2" t="inlineStr">
        <is>
          <t>Vendor URL</t>
        </is>
      </c>
      <c r="K1" s="2" t="inlineStr">
        <is>
          <t>Script Page</t>
        </is>
      </c>
      <c r="L1" s="2" t="inlineStr">
        <is>
          <t>Script Quote</t>
        </is>
      </c>
      <c r="M1" s="2" t="inlineStr">
        <is>
          <t>Notes</t>
        </is>
      </c>
      <c r="N1" s="2" t="inlineStr">
        <is>
          <t>Confidence</t>
        </is>
      </c>
      <c r="O1" s="2" t="inlineStr">
        <is>
          <t>Populated By</t>
        </is>
      </c>
    </row>
    <row r="2">
      <c r="A2" s="27" t="inlineStr">
        <is>
          <t>5500.01</t>
        </is>
      </c>
      <c r="B2" s="28" t="inlineStr">
        <is>
          <t>Main titles design</t>
        </is>
      </c>
      <c r="C2" s="27" t="inlineStr">
        <is>
          <t>[DEAL]</t>
        </is>
      </c>
      <c r="D2" s="29" t="n"/>
      <c r="E2" s="29" t="n"/>
      <c r="F2" s="29" t="n"/>
      <c r="G2" s="29" t="n"/>
      <c r="H2" s="29" t="n"/>
      <c r="I2" s="29" t="n"/>
      <c r="J2" s="29" t="n"/>
      <c r="K2" s="29" t="n"/>
      <c r="L2" s="29" t="n"/>
      <c r="M2" s="29" t="n"/>
      <c r="N2" s="29" t="n"/>
      <c r="O2" s="30" t="inlineStr">
        <is>
          <t>DEAL</t>
        </is>
      </c>
    </row>
    <row r="3">
      <c r="A3" s="27" t="inlineStr">
        <is>
          <t>5500.02</t>
        </is>
      </c>
      <c r="B3" s="28" t="inlineStr">
        <is>
          <t>End credits</t>
        </is>
      </c>
      <c r="C3" s="27" t="inlineStr">
        <is>
          <t>[DEAL]</t>
        </is>
      </c>
      <c r="D3" s="29" t="n"/>
      <c r="E3" s="29" t="n"/>
      <c r="F3" s="29" t="n"/>
      <c r="G3" s="29" t="n"/>
      <c r="H3" s="29" t="n"/>
      <c r="I3" s="29" t="n"/>
      <c r="J3" s="29" t="n"/>
      <c r="K3" s="29" t="n"/>
      <c r="L3" s="29" t="n"/>
      <c r="M3" s="29" t="n"/>
      <c r="N3" s="29" t="n"/>
      <c r="O3" s="30" t="inlineStr">
        <is>
          <t>DEAL</t>
        </is>
      </c>
    </row>
    <row r="4">
      <c r="A4" s="27" t="inlineStr">
        <is>
          <t>5500.03</t>
        </is>
      </c>
      <c r="B4" s="28" t="inlineStr">
        <is>
          <t>Title card mastering</t>
        </is>
      </c>
      <c r="C4" s="27" t="inlineStr">
        <is>
          <t>[DEAL]</t>
        </is>
      </c>
      <c r="D4" s="29" t="n"/>
      <c r="E4" s="29" t="n"/>
      <c r="F4" s="29" t="n"/>
      <c r="G4" s="29" t="n"/>
      <c r="H4" s="29" t="n"/>
      <c r="I4" s="29" t="n"/>
      <c r="J4" s="29" t="n"/>
      <c r="K4" s="29" t="n"/>
      <c r="L4" s="29" t="n"/>
      <c r="M4" s="29" t="n"/>
      <c r="N4" s="29" t="n"/>
      <c r="O4" s="30" t="inlineStr">
        <is>
          <t>DEAL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0" customWidth="1" min="3" max="3"/>
    <col width="14" customWidth="1" min="4" max="4"/>
    <col width="12" customWidth="1" min="5" max="5"/>
    <col width="12" customWidth="1" min="6" max="6"/>
    <col width="10" customWidth="1" min="7" max="7"/>
    <col width="12" customWidth="1" min="8" max="8"/>
    <col width="20" customWidth="1" min="9" max="9"/>
    <col width="28" customWidth="1" min="10" max="10"/>
    <col width="11" customWidth="1" min="11" max="11"/>
    <col width="35" customWidth="1" min="12" max="12"/>
    <col width="35" customWidth="1" min="13" max="13"/>
    <col width="12" customWidth="1" min="14" max="14"/>
    <col width="14" customWidth="1" min="15" max="15"/>
  </cols>
  <sheetData>
    <row r="1">
      <c r="A1" s="2" t="inlineStr">
        <is>
          <t>Account No</t>
        </is>
      </c>
      <c r="B1" s="2" t="inlineStr">
        <is>
          <t>Description</t>
        </is>
      </c>
      <c r="C1" s="2" t="inlineStr">
        <is>
          <t>Amount</t>
        </is>
      </c>
      <c r="D1" s="2" t="inlineStr">
        <is>
          <t>Unit Type</t>
        </is>
      </c>
      <c r="E1" s="2" t="inlineStr">
        <is>
          <t>Rate</t>
        </is>
      </c>
      <c r="F1" s="2" t="inlineStr">
        <is>
          <t>Subtotal</t>
        </is>
      </c>
      <c r="G1" s="2" t="inlineStr">
        <is>
          <t>Fringe %</t>
        </is>
      </c>
      <c r="H1" s="2" t="inlineStr">
        <is>
          <t>Total</t>
        </is>
      </c>
      <c r="I1" s="2" t="inlineStr">
        <is>
          <t>Vendor</t>
        </is>
      </c>
      <c r="J1" s="2" t="inlineStr">
        <is>
          <t>Vendor URL</t>
        </is>
      </c>
      <c r="K1" s="2" t="inlineStr">
        <is>
          <t>Script Page</t>
        </is>
      </c>
      <c r="L1" s="2" t="inlineStr">
        <is>
          <t>Script Quote</t>
        </is>
      </c>
      <c r="M1" s="2" t="inlineStr">
        <is>
          <t>Notes</t>
        </is>
      </c>
      <c r="N1" s="2" t="inlineStr">
        <is>
          <t>Confidence</t>
        </is>
      </c>
      <c r="O1" s="2" t="inlineStr">
        <is>
          <t>Populated By</t>
        </is>
      </c>
    </row>
    <row r="2">
      <c r="A2" s="27" t="inlineStr">
        <is>
          <t>5600.01</t>
        </is>
      </c>
      <c r="B2" s="28" t="inlineStr">
        <is>
          <t>Opticals / visual effects (post)</t>
        </is>
      </c>
      <c r="C2" s="27" t="inlineStr">
        <is>
          <t>[DEAL]</t>
        </is>
      </c>
      <c r="D2" s="29" t="n"/>
      <c r="E2" s="29" t="n"/>
      <c r="F2" s="29" t="n"/>
      <c r="G2" s="29" t="n"/>
      <c r="H2" s="29" t="n"/>
      <c r="I2" s="29" t="n"/>
      <c r="J2" s="29" t="n"/>
      <c r="K2" s="29" t="n"/>
      <c r="L2" s="29" t="n"/>
      <c r="M2" s="29" t="n"/>
      <c r="N2" s="29" t="n"/>
      <c r="O2" s="30" t="inlineStr">
        <is>
          <t>DEAL</t>
        </is>
      </c>
    </row>
    <row r="3">
      <c r="A3" s="27" t="inlineStr">
        <is>
          <t>5600.02</t>
        </is>
      </c>
      <c r="B3" s="28" t="inlineStr">
        <is>
          <t>Digital intermediate (opticals)</t>
        </is>
      </c>
      <c r="C3" s="27" t="inlineStr">
        <is>
          <t>[DEAL]</t>
        </is>
      </c>
      <c r="D3" s="29" t="n"/>
      <c r="E3" s="29" t="n"/>
      <c r="F3" s="29" t="n"/>
      <c r="G3" s="29" t="n"/>
      <c r="H3" s="29" t="n"/>
      <c r="I3" s="29" t="n"/>
      <c r="J3" s="29" t="n"/>
      <c r="K3" s="29" t="n"/>
      <c r="L3" s="29" t="n"/>
      <c r="M3" s="29" t="n"/>
      <c r="N3" s="29" t="n"/>
      <c r="O3" s="30" t="inlineStr">
        <is>
          <t>DEAL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0" customWidth="1" min="3" max="3"/>
    <col width="14" customWidth="1" min="4" max="4"/>
    <col width="12" customWidth="1" min="5" max="5"/>
    <col width="12" customWidth="1" min="6" max="6"/>
    <col width="10" customWidth="1" min="7" max="7"/>
    <col width="12" customWidth="1" min="8" max="8"/>
    <col width="20" customWidth="1" min="9" max="9"/>
    <col width="28" customWidth="1" min="10" max="10"/>
    <col width="11" customWidth="1" min="11" max="11"/>
    <col width="35" customWidth="1" min="12" max="12"/>
    <col width="35" customWidth="1" min="13" max="13"/>
    <col width="12" customWidth="1" min="14" max="14"/>
    <col width="14" customWidth="1" min="15" max="15"/>
  </cols>
  <sheetData>
    <row r="1">
      <c r="A1" s="2" t="inlineStr">
        <is>
          <t>Account No</t>
        </is>
      </c>
      <c r="B1" s="2" t="inlineStr">
        <is>
          <t>Description</t>
        </is>
      </c>
      <c r="C1" s="2" t="inlineStr">
        <is>
          <t>Amount</t>
        </is>
      </c>
      <c r="D1" s="2" t="inlineStr">
        <is>
          <t>Unit Type</t>
        </is>
      </c>
      <c r="E1" s="2" t="inlineStr">
        <is>
          <t>Rate</t>
        </is>
      </c>
      <c r="F1" s="2" t="inlineStr">
        <is>
          <t>Subtotal</t>
        </is>
      </c>
      <c r="G1" s="2" t="inlineStr">
        <is>
          <t>Fringe %</t>
        </is>
      </c>
      <c r="H1" s="2" t="inlineStr">
        <is>
          <t>Total</t>
        </is>
      </c>
      <c r="I1" s="2" t="inlineStr">
        <is>
          <t>Vendor</t>
        </is>
      </c>
      <c r="J1" s="2" t="inlineStr">
        <is>
          <t>Vendor URL</t>
        </is>
      </c>
      <c r="K1" s="2" t="inlineStr">
        <is>
          <t>Script Page</t>
        </is>
      </c>
      <c r="L1" s="2" t="inlineStr">
        <is>
          <t>Script Quote</t>
        </is>
      </c>
      <c r="M1" s="2" t="inlineStr">
        <is>
          <t>Notes</t>
        </is>
      </c>
      <c r="N1" s="2" t="inlineStr">
        <is>
          <t>Confidence</t>
        </is>
      </c>
      <c r="O1" s="2" t="inlineStr">
        <is>
          <t>Populated By</t>
        </is>
      </c>
    </row>
    <row r="2">
      <c r="A2" s="27" t="inlineStr">
        <is>
          <t>5700.01</t>
        </is>
      </c>
      <c r="B2" s="28" t="inlineStr">
        <is>
          <t>Video deliverables / mastering</t>
        </is>
      </c>
      <c r="C2" s="27" t="inlineStr">
        <is>
          <t>[DEAL]</t>
        </is>
      </c>
      <c r="D2" s="29" t="n"/>
      <c r="E2" s="29" t="n"/>
      <c r="F2" s="29" t="n"/>
      <c r="G2" s="29" t="n"/>
      <c r="H2" s="29" t="n"/>
      <c r="I2" s="29" t="n"/>
      <c r="J2" s="29" t="n"/>
      <c r="K2" s="29" t="n"/>
      <c r="L2" s="29" t="n"/>
      <c r="M2" s="29" t="n"/>
      <c r="N2" s="29" t="n"/>
      <c r="O2" s="30" t="inlineStr">
        <is>
          <t>DEAL</t>
        </is>
      </c>
    </row>
    <row r="3">
      <c r="A3" s="27" t="inlineStr">
        <is>
          <t>5700.02</t>
        </is>
      </c>
      <c r="B3" s="28" t="inlineStr">
        <is>
          <t>Streaming / broadcast specs</t>
        </is>
      </c>
      <c r="C3" s="27" t="inlineStr">
        <is>
          <t>[DEAL]</t>
        </is>
      </c>
      <c r="D3" s="29" t="n"/>
      <c r="E3" s="29" t="n"/>
      <c r="F3" s="29" t="n"/>
      <c r="G3" s="29" t="n"/>
      <c r="H3" s="29" t="n"/>
      <c r="I3" s="29" t="n"/>
      <c r="J3" s="29" t="n"/>
      <c r="K3" s="29" t="n"/>
      <c r="L3" s="29" t="n"/>
      <c r="M3" s="29" t="n"/>
      <c r="N3" s="29" t="n"/>
      <c r="O3" s="30" t="inlineStr">
        <is>
          <t>DEAL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0" customWidth="1" min="3" max="3"/>
    <col width="14" customWidth="1" min="4" max="4"/>
    <col width="12" customWidth="1" min="5" max="5"/>
    <col width="12" customWidth="1" min="6" max="6"/>
    <col width="10" customWidth="1" min="7" max="7"/>
    <col width="12" customWidth="1" min="8" max="8"/>
    <col width="20" customWidth="1" min="9" max="9"/>
    <col width="28" customWidth="1" min="10" max="10"/>
    <col width="11" customWidth="1" min="11" max="11"/>
    <col width="35" customWidth="1" min="12" max="12"/>
    <col width="35" customWidth="1" min="13" max="13"/>
    <col width="12" customWidth="1" min="14" max="14"/>
    <col width="14" customWidth="1" min="15" max="15"/>
  </cols>
  <sheetData>
    <row r="1">
      <c r="A1" s="2" t="inlineStr">
        <is>
          <t>Account No</t>
        </is>
      </c>
      <c r="B1" s="2" t="inlineStr">
        <is>
          <t>Description</t>
        </is>
      </c>
      <c r="C1" s="2" t="inlineStr">
        <is>
          <t>Amount</t>
        </is>
      </c>
      <c r="D1" s="2" t="inlineStr">
        <is>
          <t>Unit Type</t>
        </is>
      </c>
      <c r="E1" s="2" t="inlineStr">
        <is>
          <t>Rate</t>
        </is>
      </c>
      <c r="F1" s="2" t="inlineStr">
        <is>
          <t>Subtotal</t>
        </is>
      </c>
      <c r="G1" s="2" t="inlineStr">
        <is>
          <t>Fringe %</t>
        </is>
      </c>
      <c r="H1" s="2" t="inlineStr">
        <is>
          <t>Total</t>
        </is>
      </c>
      <c r="I1" s="2" t="inlineStr">
        <is>
          <t>Vendor</t>
        </is>
      </c>
      <c r="J1" s="2" t="inlineStr">
        <is>
          <t>Vendor URL</t>
        </is>
      </c>
      <c r="K1" s="2" t="inlineStr">
        <is>
          <t>Script Page</t>
        </is>
      </c>
      <c r="L1" s="2" t="inlineStr">
        <is>
          <t>Script Quote</t>
        </is>
      </c>
      <c r="M1" s="2" t="inlineStr">
        <is>
          <t>Notes</t>
        </is>
      </c>
      <c r="N1" s="2" t="inlineStr">
        <is>
          <t>Confidence</t>
        </is>
      </c>
      <c r="O1" s="2" t="inlineStr">
        <is>
          <t>Populated By</t>
        </is>
      </c>
    </row>
    <row r="2">
      <c r="A2" s="27" t="inlineStr">
        <is>
          <t>6100.01</t>
        </is>
      </c>
      <c r="B2" s="28" t="inlineStr">
        <is>
          <t>Cast insurance</t>
        </is>
      </c>
      <c r="C2" s="27" t="inlineStr">
        <is>
          <t>[DEAL]</t>
        </is>
      </c>
      <c r="D2" s="29" t="n"/>
      <c r="E2" s="29" t="n"/>
      <c r="F2" s="29" t="n"/>
      <c r="G2" s="29" t="n"/>
      <c r="H2" s="29" t="n"/>
      <c r="I2" s="29" t="n"/>
      <c r="J2" s="29" t="n"/>
      <c r="K2" s="29" t="n"/>
      <c r="L2" s="29" t="n"/>
      <c r="M2" s="29" t="n"/>
      <c r="N2" s="29" t="n"/>
      <c r="O2" s="30" t="inlineStr">
        <is>
          <t>DEAL</t>
        </is>
      </c>
    </row>
    <row r="3">
      <c r="A3" s="27" t="inlineStr">
        <is>
          <t>6100.02</t>
        </is>
      </c>
      <c r="B3" s="28" t="inlineStr">
        <is>
          <t>Negative / production insurance</t>
        </is>
      </c>
      <c r="C3" s="27" t="inlineStr">
        <is>
          <t>[DEAL]</t>
        </is>
      </c>
      <c r="D3" s="29" t="n"/>
      <c r="E3" s="29" t="n"/>
      <c r="F3" s="29" t="n"/>
      <c r="G3" s="29" t="n"/>
      <c r="H3" s="29" t="n"/>
      <c r="I3" s="29" t="n"/>
      <c r="J3" s="29" t="n"/>
      <c r="K3" s="29" t="n"/>
      <c r="L3" s="29" t="n"/>
      <c r="M3" s="29" t="n"/>
      <c r="N3" s="29" t="n"/>
      <c r="O3" s="30" t="inlineStr">
        <is>
          <t>DEAL</t>
        </is>
      </c>
    </row>
    <row r="4">
      <c r="A4" s="27" t="inlineStr">
        <is>
          <t>6100.03</t>
        </is>
      </c>
      <c r="B4" s="28" t="inlineStr">
        <is>
          <t>E&amp;O insurance</t>
        </is>
      </c>
      <c r="C4" s="27" t="inlineStr">
        <is>
          <t>[DEAL]</t>
        </is>
      </c>
      <c r="D4" s="29" t="n"/>
      <c r="E4" s="29" t="n"/>
      <c r="F4" s="29" t="n"/>
      <c r="G4" s="29" t="n"/>
      <c r="H4" s="29" t="n"/>
      <c r="I4" s="29" t="n"/>
      <c r="J4" s="29" t="n"/>
      <c r="K4" s="29" t="n"/>
      <c r="L4" s="29" t="n"/>
      <c r="M4" s="29" t="n"/>
      <c r="N4" s="29" t="n"/>
      <c r="O4" s="30" t="inlineStr">
        <is>
          <t>DEAL</t>
        </is>
      </c>
    </row>
    <row r="5">
      <c r="A5" s="27" t="inlineStr">
        <is>
          <t>6100.04</t>
        </is>
      </c>
      <c r="B5" s="28" t="inlineStr">
        <is>
          <t>General liability</t>
        </is>
      </c>
      <c r="C5" s="27" t="inlineStr">
        <is>
          <t>[DEAL]</t>
        </is>
      </c>
      <c r="D5" s="29" t="n"/>
      <c r="E5" s="29" t="n"/>
      <c r="F5" s="29" t="n"/>
      <c r="G5" s="29" t="n"/>
      <c r="H5" s="29" t="n"/>
      <c r="I5" s="29" t="n"/>
      <c r="J5" s="29" t="n"/>
      <c r="K5" s="29" t="n"/>
      <c r="L5" s="29" t="n"/>
      <c r="M5" s="29" t="n"/>
      <c r="N5" s="29" t="n"/>
      <c r="O5" s="30" t="inlineStr">
        <is>
          <t>DEAL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0" customWidth="1" min="3" max="3"/>
    <col width="14" customWidth="1" min="4" max="4"/>
    <col width="12" customWidth="1" min="5" max="5"/>
    <col width="12" customWidth="1" min="6" max="6"/>
    <col width="10" customWidth="1" min="7" max="7"/>
    <col width="12" customWidth="1" min="8" max="8"/>
    <col width="20" customWidth="1" min="9" max="9"/>
    <col width="28" customWidth="1" min="10" max="10"/>
    <col width="11" customWidth="1" min="11" max="11"/>
    <col width="35" customWidth="1" min="12" max="12"/>
    <col width="35" customWidth="1" min="13" max="13"/>
    <col width="12" customWidth="1" min="14" max="14"/>
    <col width="14" customWidth="1" min="15" max="15"/>
  </cols>
  <sheetData>
    <row r="1">
      <c r="A1" s="2" t="inlineStr">
        <is>
          <t>Account No</t>
        </is>
      </c>
      <c r="B1" s="2" t="inlineStr">
        <is>
          <t>Description</t>
        </is>
      </c>
      <c r="C1" s="2" t="inlineStr">
        <is>
          <t>Amount</t>
        </is>
      </c>
      <c r="D1" s="2" t="inlineStr">
        <is>
          <t>Unit Type</t>
        </is>
      </c>
      <c r="E1" s="2" t="inlineStr">
        <is>
          <t>Rate</t>
        </is>
      </c>
      <c r="F1" s="2" t="inlineStr">
        <is>
          <t>Subtotal</t>
        </is>
      </c>
      <c r="G1" s="2" t="inlineStr">
        <is>
          <t>Fringe %</t>
        </is>
      </c>
      <c r="H1" s="2" t="inlineStr">
        <is>
          <t>Total</t>
        </is>
      </c>
      <c r="I1" s="2" t="inlineStr">
        <is>
          <t>Vendor</t>
        </is>
      </c>
      <c r="J1" s="2" t="inlineStr">
        <is>
          <t>Vendor URL</t>
        </is>
      </c>
      <c r="K1" s="2" t="inlineStr">
        <is>
          <t>Script Page</t>
        </is>
      </c>
      <c r="L1" s="2" t="inlineStr">
        <is>
          <t>Script Quote</t>
        </is>
      </c>
      <c r="M1" s="2" t="inlineStr">
        <is>
          <t>Notes</t>
        </is>
      </c>
      <c r="N1" s="2" t="inlineStr">
        <is>
          <t>Confidence</t>
        </is>
      </c>
      <c r="O1" s="2" t="inlineStr">
        <is>
          <t>Populated By</t>
        </is>
      </c>
    </row>
    <row r="2">
      <c r="A2" s="5" t="inlineStr">
        <is>
          <t>6200.01</t>
        </is>
      </c>
      <c r="B2" s="24" t="inlineStr">
        <is>
          <t>Brand clearance / product placement agreement — Alto Vallejo Dam and Reservoir (proposed project signage/map on camera)</t>
        </is>
      </c>
      <c r="C2" s="5" t="n">
        <v>1</v>
      </c>
      <c r="D2" s="5" t="inlineStr">
        <is>
          <t>Allow</t>
        </is>
      </c>
      <c r="E2" s="31" t="n"/>
      <c r="F2" s="6">
        <f>IFERROR(C2*D2*E2,"")</f>
        <v/>
      </c>
      <c r="H2" s="6">
        <f>IFERROR(F2+(F2*G2),"")</f>
        <v/>
      </c>
      <c r="K2" s="32" t="n">
        <v>7</v>
      </c>
      <c r="L2" s="33" t="inlineStr">
        <is>
          <t>Behind him is a huge map, with overleafs and bold lettering: 'PROPOSED ALTO VALLEJO DAM AND RESERVOIR'</t>
        </is>
      </c>
      <c r="M2" s="24" t="inlineStr">
        <is>
          <t>Large-format map/graphic displayed prominently on camera in Council Chambers. If a real governmental body or trademarked project name is referenced, legal clearance or fictionalization review required before shooting. Confirm whether name is wholly fictional or requires clearance.</t>
        </is>
      </c>
      <c r="N2" s="37" t="inlineStr">
        <is>
          <t>Medium</t>
        </is>
      </c>
      <c r="O2" s="35" t="inlineStr">
        <is>
          <t>SCRIPT</t>
        </is>
      </c>
    </row>
    <row r="3">
      <c r="A3" s="5" t="inlineStr">
        <is>
          <t>6200.02</t>
        </is>
      </c>
      <c r="B3" s="24" t="inlineStr">
        <is>
          <t>Brand clearance / product placement agreement — J. J. Gittes and Associates office door lettering (on-camera signage)</t>
        </is>
      </c>
      <c r="C3" s="5" t="n">
        <v>1</v>
      </c>
      <c r="D3" s="5" t="inlineStr">
        <is>
          <t>Allow</t>
        </is>
      </c>
      <c r="E3" s="31" t="n"/>
      <c r="F3" s="6">
        <f>IFERROR(C3*D3*E3,"")</f>
        <v/>
      </c>
      <c r="H3" s="6">
        <f>IFERROR(F3+(F3*G3),"")</f>
        <v/>
      </c>
      <c r="K3" s="32" t="n">
        <v>4</v>
      </c>
      <c r="L3" s="33" t="inlineStr">
        <is>
          <t>on the pebbled glass can be read: 'J. J. GITTES and Associates. DISCREET INVESTIGATION'</t>
        </is>
      </c>
      <c r="M3" s="24" t="inlineStr">
        <is>
          <t>Pebbled glass door signage is legible on camera. Fictional business name — no third-party trademark clearance expected, but confirm no real business of this name exists in period LA. Low risk; flagged for legal review.</t>
        </is>
      </c>
      <c r="N3" s="38" t="inlineStr">
        <is>
          <t>Low</t>
        </is>
      </c>
      <c r="O3" s="35" t="inlineStr">
        <is>
          <t>SCRIPT</t>
        </is>
      </c>
    </row>
    <row r="4">
      <c r="A4" s="27" t="inlineStr">
        <is>
          <t>6200.03</t>
        </is>
      </c>
      <c r="B4" s="28" t="inlineStr">
        <is>
          <t>Legal fees</t>
        </is>
      </c>
      <c r="C4" s="27" t="inlineStr">
        <is>
          <t>[DEAL]</t>
        </is>
      </c>
      <c r="D4" s="29" t="n"/>
      <c r="E4" s="29" t="n"/>
      <c r="F4" s="29" t="n"/>
      <c r="G4" s="29" t="n"/>
      <c r="H4" s="29" t="n"/>
      <c r="I4" s="29" t="n"/>
      <c r="J4" s="29" t="n"/>
      <c r="K4" s="29" t="n"/>
      <c r="L4" s="29" t="n"/>
      <c r="M4" s="29" t="n"/>
      <c r="N4" s="29" t="n"/>
      <c r="O4" s="30" t="inlineStr">
        <is>
          <t>DEAL</t>
        </is>
      </c>
    </row>
    <row r="5">
      <c r="A5" s="27" t="inlineStr">
        <is>
          <t>6200.04</t>
        </is>
      </c>
      <c r="B5" s="28" t="inlineStr">
        <is>
          <t>Contract preparation</t>
        </is>
      </c>
      <c r="C5" s="27" t="inlineStr">
        <is>
          <t>[DEAL]</t>
        </is>
      </c>
      <c r="D5" s="29" t="n"/>
      <c r="E5" s="29" t="n"/>
      <c r="F5" s="29" t="n"/>
      <c r="G5" s="29" t="n"/>
      <c r="H5" s="29" t="n"/>
      <c r="I5" s="29" t="n"/>
      <c r="J5" s="29" t="n"/>
      <c r="K5" s="29" t="n"/>
      <c r="L5" s="29" t="n"/>
      <c r="M5" s="29" t="n"/>
      <c r="N5" s="29" t="n"/>
      <c r="O5" s="30" t="inlineStr">
        <is>
          <t>DEAL</t>
        </is>
      </c>
    </row>
    <row r="6">
      <c r="A6" s="27" t="inlineStr">
        <is>
          <t>6200.05</t>
        </is>
      </c>
      <c r="B6" s="28" t="inlineStr">
        <is>
          <t>Clearances / chain of title</t>
        </is>
      </c>
      <c r="C6" s="27" t="inlineStr">
        <is>
          <t>[DEAL]</t>
        </is>
      </c>
      <c r="D6" s="29" t="n"/>
      <c r="E6" s="29" t="n"/>
      <c r="F6" s="29" t="n"/>
      <c r="G6" s="29" t="n"/>
      <c r="H6" s="29" t="n"/>
      <c r="I6" s="29" t="n"/>
      <c r="J6" s="29" t="n"/>
      <c r="K6" s="29" t="n"/>
      <c r="L6" s="29" t="n"/>
      <c r="M6" s="29" t="n"/>
      <c r="N6" s="29" t="n"/>
      <c r="O6" s="30" t="inlineStr">
        <is>
          <t>DEAL</t>
        </is>
      </c>
    </row>
  </sheetData>
  <hyperlinks>
    <hyperlink xmlns:r="http://schemas.openxmlformats.org/officeDocument/2006/relationships" ref="K2" r:id="rId1"/>
    <hyperlink xmlns:r="http://schemas.openxmlformats.org/officeDocument/2006/relationships" ref="K3" r:id="rId2"/>
  </hyperlink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0" customWidth="1" min="3" max="3"/>
    <col width="14" customWidth="1" min="4" max="4"/>
    <col width="12" customWidth="1" min="5" max="5"/>
    <col width="12" customWidth="1" min="6" max="6"/>
    <col width="10" customWidth="1" min="7" max="7"/>
    <col width="12" customWidth="1" min="8" max="8"/>
    <col width="20" customWidth="1" min="9" max="9"/>
    <col width="28" customWidth="1" min="10" max="10"/>
    <col width="11" customWidth="1" min="11" max="11"/>
    <col width="35" customWidth="1" min="12" max="12"/>
    <col width="35" customWidth="1" min="13" max="13"/>
    <col width="12" customWidth="1" min="14" max="14"/>
    <col width="14" customWidth="1" min="15" max="15"/>
  </cols>
  <sheetData>
    <row r="1">
      <c r="A1" s="2" t="inlineStr">
        <is>
          <t>Account No</t>
        </is>
      </c>
      <c r="B1" s="2" t="inlineStr">
        <is>
          <t>Description</t>
        </is>
      </c>
      <c r="C1" s="2" t="inlineStr">
        <is>
          <t>Amount</t>
        </is>
      </c>
      <c r="D1" s="2" t="inlineStr">
        <is>
          <t>Unit Type</t>
        </is>
      </c>
      <c r="E1" s="2" t="inlineStr">
        <is>
          <t>Rate</t>
        </is>
      </c>
      <c r="F1" s="2" t="inlineStr">
        <is>
          <t>Subtotal</t>
        </is>
      </c>
      <c r="G1" s="2" t="inlineStr">
        <is>
          <t>Fringe %</t>
        </is>
      </c>
      <c r="H1" s="2" t="inlineStr">
        <is>
          <t>Total</t>
        </is>
      </c>
      <c r="I1" s="2" t="inlineStr">
        <is>
          <t>Vendor</t>
        </is>
      </c>
      <c r="J1" s="2" t="inlineStr">
        <is>
          <t>Vendor URL</t>
        </is>
      </c>
      <c r="K1" s="2" t="inlineStr">
        <is>
          <t>Script Page</t>
        </is>
      </c>
      <c r="L1" s="2" t="inlineStr">
        <is>
          <t>Script Quote</t>
        </is>
      </c>
      <c r="M1" s="2" t="inlineStr">
        <is>
          <t>Notes</t>
        </is>
      </c>
      <c r="N1" s="2" t="inlineStr">
        <is>
          <t>Confidence</t>
        </is>
      </c>
      <c r="O1" s="2" t="inlineStr">
        <is>
          <t>Populated By</t>
        </is>
      </c>
    </row>
    <row r="2">
      <c r="A2" s="27" t="inlineStr">
        <is>
          <t>6300.01</t>
        </is>
      </c>
      <c r="B2" s="28" t="inlineStr">
        <is>
          <t>Unit Publicist</t>
        </is>
      </c>
      <c r="C2" s="27" t="inlineStr">
        <is>
          <t>[DEAL]</t>
        </is>
      </c>
      <c r="D2" s="29" t="n"/>
      <c r="E2" s="29" t="n"/>
      <c r="F2" s="29" t="n"/>
      <c r="G2" s="29" t="n"/>
      <c r="H2" s="29" t="n"/>
      <c r="I2" s="29" t="n"/>
      <c r="J2" s="29" t="n"/>
      <c r="K2" s="29" t="n"/>
      <c r="L2" s="29" t="n"/>
      <c r="M2" s="29" t="n"/>
      <c r="N2" s="29" t="n"/>
      <c r="O2" s="30" t="inlineStr">
        <is>
          <t>DEAL</t>
        </is>
      </c>
    </row>
    <row r="3">
      <c r="A3" s="27" t="inlineStr">
        <is>
          <t>6300.02</t>
        </is>
      </c>
      <c r="B3" s="28" t="inlineStr">
        <is>
          <t>Electronic Press Kit (EPK)</t>
        </is>
      </c>
      <c r="C3" s="27" t="inlineStr">
        <is>
          <t>[DEAL]</t>
        </is>
      </c>
      <c r="D3" s="29" t="n"/>
      <c r="E3" s="29" t="n"/>
      <c r="F3" s="29" t="n"/>
      <c r="G3" s="29" t="n"/>
      <c r="H3" s="29" t="n"/>
      <c r="I3" s="29" t="n"/>
      <c r="J3" s="29" t="n"/>
      <c r="K3" s="29" t="n"/>
      <c r="L3" s="29" t="n"/>
      <c r="M3" s="29" t="n"/>
      <c r="N3" s="29" t="n"/>
      <c r="O3" s="30" t="inlineStr">
        <is>
          <t>DEAL</t>
        </is>
      </c>
    </row>
    <row r="4">
      <c r="A4" s="27" t="inlineStr">
        <is>
          <t>6300.03</t>
        </is>
      </c>
      <c r="B4" s="28" t="inlineStr">
        <is>
          <t>Stills photographer</t>
        </is>
      </c>
      <c r="C4" s="27" t="inlineStr">
        <is>
          <t>[DEAL]</t>
        </is>
      </c>
      <c r="D4" s="29" t="n"/>
      <c r="E4" s="29" t="n"/>
      <c r="F4" s="29" t="n"/>
      <c r="G4" s="29" t="n"/>
      <c r="H4" s="29" t="n"/>
      <c r="I4" s="29" t="n"/>
      <c r="J4" s="29" t="n"/>
      <c r="K4" s="29" t="n"/>
      <c r="L4" s="29" t="n"/>
      <c r="M4" s="29" t="n"/>
      <c r="N4" s="29" t="n"/>
      <c r="O4" s="30" t="inlineStr">
        <is>
          <t>DEAL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0" customWidth="1" min="3" max="3"/>
    <col width="14" customWidth="1" min="4" max="4"/>
    <col width="12" customWidth="1" min="5" max="5"/>
    <col width="12" customWidth="1" min="6" max="6"/>
    <col width="10" customWidth="1" min="7" max="7"/>
    <col width="12" customWidth="1" min="8" max="8"/>
    <col width="20" customWidth="1" min="9" max="9"/>
    <col width="28" customWidth="1" min="10" max="10"/>
    <col width="11" customWidth="1" min="11" max="11"/>
    <col width="35" customWidth="1" min="12" max="12"/>
    <col width="35" customWidth="1" min="13" max="13"/>
    <col width="12" customWidth="1" min="14" max="14"/>
    <col width="14" customWidth="1" min="15" max="15"/>
  </cols>
  <sheetData>
    <row r="1">
      <c r="A1" s="2" t="inlineStr">
        <is>
          <t>Account No</t>
        </is>
      </c>
      <c r="B1" s="2" t="inlineStr">
        <is>
          <t>Description</t>
        </is>
      </c>
      <c r="C1" s="2" t="inlineStr">
        <is>
          <t>Amount</t>
        </is>
      </c>
      <c r="D1" s="2" t="inlineStr">
        <is>
          <t>Unit Type</t>
        </is>
      </c>
      <c r="E1" s="2" t="inlineStr">
        <is>
          <t>Rate</t>
        </is>
      </c>
      <c r="F1" s="2" t="inlineStr">
        <is>
          <t>Subtotal</t>
        </is>
      </c>
      <c r="G1" s="2" t="inlineStr">
        <is>
          <t>Fringe %</t>
        </is>
      </c>
      <c r="H1" s="2" t="inlineStr">
        <is>
          <t>Total</t>
        </is>
      </c>
      <c r="I1" s="2" t="inlineStr">
        <is>
          <t>Vendor</t>
        </is>
      </c>
      <c r="J1" s="2" t="inlineStr">
        <is>
          <t>Vendor URL</t>
        </is>
      </c>
      <c r="K1" s="2" t="inlineStr">
        <is>
          <t>Script Page</t>
        </is>
      </c>
      <c r="L1" s="2" t="inlineStr">
        <is>
          <t>Script Quote</t>
        </is>
      </c>
      <c r="M1" s="2" t="inlineStr">
        <is>
          <t>Notes</t>
        </is>
      </c>
      <c r="N1" s="2" t="inlineStr">
        <is>
          <t>Confidence</t>
        </is>
      </c>
      <c r="O1" s="2" t="inlineStr">
        <is>
          <t>Populated By</t>
        </is>
      </c>
    </row>
    <row r="2">
      <c r="A2" s="27" t="inlineStr">
        <is>
          <t>6400.01</t>
        </is>
      </c>
      <c r="B2" s="28" t="inlineStr">
        <is>
          <t>Accounting / payroll fees</t>
        </is>
      </c>
      <c r="C2" s="27" t="inlineStr">
        <is>
          <t>[DEAL]</t>
        </is>
      </c>
      <c r="D2" s="29" t="n"/>
      <c r="E2" s="29" t="n"/>
      <c r="F2" s="29" t="n"/>
      <c r="G2" s="29" t="n"/>
      <c r="H2" s="29" t="n"/>
      <c r="I2" s="29" t="n"/>
      <c r="J2" s="29" t="n"/>
      <c r="K2" s="29" t="n"/>
      <c r="L2" s="29" t="n"/>
      <c r="M2" s="29" t="n"/>
      <c r="N2" s="29" t="n"/>
      <c r="O2" s="30" t="inlineStr">
        <is>
          <t>DEAL</t>
        </is>
      </c>
    </row>
    <row r="3">
      <c r="A3" s="27" t="inlineStr">
        <is>
          <t>6400.02</t>
        </is>
      </c>
      <c r="B3" s="28" t="inlineStr">
        <is>
          <t>Bank charges</t>
        </is>
      </c>
      <c r="C3" s="27" t="inlineStr">
        <is>
          <t>[DEAL]</t>
        </is>
      </c>
      <c r="D3" s="29" t="n"/>
      <c r="E3" s="29" t="n"/>
      <c r="F3" s="29" t="n"/>
      <c r="G3" s="29" t="n"/>
      <c r="H3" s="29" t="n"/>
      <c r="I3" s="29" t="n"/>
      <c r="J3" s="29" t="n"/>
      <c r="K3" s="29" t="n"/>
      <c r="L3" s="29" t="n"/>
      <c r="M3" s="29" t="n"/>
      <c r="N3" s="29" t="n"/>
      <c r="O3" s="30" t="inlineStr">
        <is>
          <t>DEAL</t>
        </is>
      </c>
    </row>
    <row r="4">
      <c r="A4" s="27" t="inlineStr">
        <is>
          <t>6400.03</t>
        </is>
      </c>
      <c r="B4" s="28" t="inlineStr">
        <is>
          <t>Completion bond (~2.5% of budget)</t>
        </is>
      </c>
      <c r="C4" s="27" t="inlineStr">
        <is>
          <t>[DEAL]</t>
        </is>
      </c>
      <c r="D4" s="29" t="n"/>
      <c r="E4" s="29" t="n"/>
      <c r="F4" s="29" t="n"/>
      <c r="G4" s="29" t="n"/>
      <c r="H4" s="29" t="n"/>
      <c r="I4" s="29" t="n"/>
      <c r="J4" s="29" t="n"/>
      <c r="K4" s="29" t="n"/>
      <c r="L4" s="29" t="n"/>
      <c r="M4" s="29" t="n"/>
      <c r="N4" s="29" t="n"/>
      <c r="O4" s="30" t="inlineStr">
        <is>
          <t>DEAL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2026-05-13T01:15:39Z</dcterms:created>
  <dcterms:modified xsi:type="dcterms:W3CDTF">2026-05-13T01:15:40Z</dcterms:modified>
</cp:coreProperties>
</file>
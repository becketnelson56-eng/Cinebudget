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d1bde497248299/Claude Code Stuff/ScriptBreakdown/"/>
    </mc:Choice>
  </mc:AlternateContent>
  <xr:revisionPtr revIDLastSave="2" documentId="11_37D5B7A067BD0D88B0F5CF6052E38DD72F52085F" xr6:coauthVersionLast="47" xr6:coauthVersionMax="47" xr10:uidLastSave="{C6203050-00B8-4370-89FC-64869C0E6B1D}"/>
  <bookViews>
    <workbookView xWindow="-110" yWindow="-110" windowWidth="25820" windowHeight="15500" xr2:uid="{00000000-000D-0000-FFFF-FFFF00000000}"/>
  </bookViews>
  <sheets>
    <sheet name="TOP SHEET" sheetId="1" r:id="rId1"/>
    <sheet name="SCENE BREAKDOWN" sheetId="2" r:id="rId2"/>
    <sheet name="1100" sheetId="3" r:id="rId3"/>
    <sheet name="1200" sheetId="4" r:id="rId4"/>
    <sheet name="1400" sheetId="5" r:id="rId5"/>
    <sheet name="1500" sheetId="6" r:id="rId6"/>
    <sheet name="1600" sheetId="7" r:id="rId7"/>
    <sheet name="2100" sheetId="8" r:id="rId8"/>
    <sheet name="2200" sheetId="9" r:id="rId9"/>
    <sheet name="2300" sheetId="10" r:id="rId10"/>
    <sheet name="2400" sheetId="11" r:id="rId11"/>
    <sheet name="2500" sheetId="12" r:id="rId12"/>
    <sheet name="2600" sheetId="13" r:id="rId13"/>
    <sheet name="2700" sheetId="14" r:id="rId14"/>
    <sheet name="2800" sheetId="15" r:id="rId15"/>
    <sheet name="2900" sheetId="16" r:id="rId16"/>
    <sheet name="3000" sheetId="17" r:id="rId17"/>
    <sheet name="3100" sheetId="18" r:id="rId18"/>
    <sheet name="3200" sheetId="19" r:id="rId19"/>
    <sheet name="3300" sheetId="20" r:id="rId20"/>
    <sheet name="3400" sheetId="21" r:id="rId21"/>
    <sheet name="3500" sheetId="22" r:id="rId22"/>
    <sheet name="3600" sheetId="23" r:id="rId23"/>
    <sheet name="3800" sheetId="24" r:id="rId24"/>
    <sheet name="3900" sheetId="25" r:id="rId25"/>
    <sheet name="5100" sheetId="26" r:id="rId26"/>
    <sheet name="5200" sheetId="27" r:id="rId27"/>
    <sheet name="5300" sheetId="28" r:id="rId28"/>
    <sheet name="5400" sheetId="29" r:id="rId29"/>
    <sheet name="5500" sheetId="30" r:id="rId30"/>
    <sheet name="5600" sheetId="31" r:id="rId31"/>
    <sheet name="5700" sheetId="32" r:id="rId32"/>
    <sheet name="6100" sheetId="33" r:id="rId33"/>
    <sheet name="6200" sheetId="34" r:id="rId34"/>
    <sheet name="6300" sheetId="35" r:id="rId35"/>
    <sheet name="6400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2" l="1"/>
  <c r="F3" i="22"/>
  <c r="F2" i="22"/>
  <c r="H2" i="22" s="1"/>
  <c r="C22" i="1" s="1"/>
  <c r="F2" i="21"/>
  <c r="H2" i="21" s="1"/>
  <c r="C21" i="1" s="1"/>
  <c r="F3" i="20"/>
  <c r="H3" i="20" s="1"/>
  <c r="F2" i="20"/>
  <c r="H2" i="20" s="1"/>
  <c r="C20" i="1" s="1"/>
  <c r="F3" i="17"/>
  <c r="H3" i="17" s="1"/>
  <c r="F2" i="17"/>
  <c r="H2" i="17" s="1"/>
  <c r="C18" i="1" s="1"/>
  <c r="F4" i="14"/>
  <c r="H4" i="14" s="1"/>
  <c r="F3" i="14"/>
  <c r="H3" i="14" s="1"/>
  <c r="F2" i="14"/>
  <c r="H2" i="14" s="1"/>
  <c r="C15" i="1" s="1"/>
  <c r="F3" i="13"/>
  <c r="H3" i="13" s="1"/>
  <c r="F2" i="13"/>
  <c r="H2" i="13" s="1"/>
  <c r="C14" i="1" s="1"/>
  <c r="F8" i="12"/>
  <c r="H8" i="12" s="1"/>
  <c r="F7" i="12"/>
  <c r="H7" i="12" s="1"/>
  <c r="H6" i="12"/>
  <c r="F6" i="12"/>
  <c r="F5" i="12"/>
  <c r="H5" i="12" s="1"/>
  <c r="F4" i="12"/>
  <c r="H4" i="12" s="1"/>
  <c r="F3" i="12"/>
  <c r="H3" i="12" s="1"/>
  <c r="F2" i="12"/>
  <c r="H2" i="12" s="1"/>
  <c r="C13" i="1" s="1"/>
  <c r="F2" i="11"/>
  <c r="H2" i="11" s="1"/>
  <c r="F2" i="10"/>
  <c r="H2" i="10" s="1"/>
  <c r="F4" i="9"/>
  <c r="H4" i="9" s="1"/>
  <c r="F3" i="9"/>
  <c r="H3" i="9" s="1"/>
  <c r="F2" i="9"/>
  <c r="H2" i="9" s="1"/>
  <c r="C12" i="1" s="1"/>
  <c r="C25" i="1" s="1"/>
  <c r="H3" i="7"/>
  <c r="F3" i="7"/>
  <c r="F2" i="7"/>
  <c r="H2" i="7" s="1"/>
  <c r="C7" i="1" s="1"/>
  <c r="C34" i="1"/>
  <c r="C33" i="1"/>
  <c r="C32" i="1"/>
  <c r="C28" i="1"/>
  <c r="C29" i="1" s="1"/>
  <c r="C24" i="1"/>
  <c r="C23" i="1"/>
  <c r="C19" i="1"/>
  <c r="C17" i="1"/>
  <c r="C16" i="1"/>
  <c r="C11" i="1"/>
  <c r="C6" i="1"/>
  <c r="C5" i="1"/>
  <c r="C4" i="1"/>
  <c r="C8" i="1" l="1"/>
  <c r="C35" i="1" l="1"/>
  <c r="C36" i="1" s="1"/>
</calcChain>
</file>

<file path=xl/sharedStrings.xml><?xml version="1.0" encoding="utf-8"?>
<sst xmlns="http://schemas.openxmlformats.org/spreadsheetml/2006/main" count="1344" uniqueCount="483">
  <si>
    <t>PRODUCTION BUDGET — TOP SHEET</t>
  </si>
  <si>
    <t>Category</t>
  </si>
  <si>
    <t>Account(s)</t>
  </si>
  <si>
    <t>Total</t>
  </si>
  <si>
    <t>ABOVE THE LINE</t>
  </si>
  <si>
    <t>Development + Story &amp; Rights</t>
  </si>
  <si>
    <t>Producers Unit</t>
  </si>
  <si>
    <t>Directors Unit</t>
  </si>
  <si>
    <t>Talent / Cast</t>
  </si>
  <si>
    <t>TOTAL ABOVE THE LINE</t>
  </si>
  <si>
    <t>BELOW THE LINE</t>
  </si>
  <si>
    <t>Production Staff</t>
  </si>
  <si>
    <t>Art Direction + Set Construction + Set Decoration</t>
  </si>
  <si>
    <t>Props</t>
  </si>
  <si>
    <t>Camera</t>
  </si>
  <si>
    <t>Electric</t>
  </si>
  <si>
    <t>Grip</t>
  </si>
  <si>
    <t>Production Sound</t>
  </si>
  <si>
    <t>Mechanical FX + Special VFX</t>
  </si>
  <si>
    <t>Set Operations</t>
  </si>
  <si>
    <t>Wardrobe</t>
  </si>
  <si>
    <t>Makeup &amp; Hair</t>
  </si>
  <si>
    <t>Locations</t>
  </si>
  <si>
    <t>Transportation</t>
  </si>
  <si>
    <t>Studio Facilities + Atmosphere</t>
  </si>
  <si>
    <t>TOTAL BELOW THE LINE</t>
  </si>
  <si>
    <t>POST PRODUCTION</t>
  </si>
  <si>
    <t>Editing + Post Film/Lab + Post Sound + Music + Titles + Opticals + Post Video</t>
  </si>
  <si>
    <t>TOTAL POST PRODUCTION</t>
  </si>
  <si>
    <t>OTHER</t>
  </si>
  <si>
    <t>Insurance</t>
  </si>
  <si>
    <t>Legal</t>
  </si>
  <si>
    <t>Publicity</t>
  </si>
  <si>
    <t>Contingency (10%)</t>
  </si>
  <si>
    <t>GRAND TOTAL</t>
  </si>
  <si>
    <t>Scene #</t>
  </si>
  <si>
    <t>Scene Heading</t>
  </si>
  <si>
    <t>Int/Ext</t>
  </si>
  <si>
    <t>Day/Night</t>
  </si>
  <si>
    <t>Page Count</t>
  </si>
  <si>
    <t>Script Day</t>
  </si>
  <si>
    <t>Cast</t>
  </si>
  <si>
    <t>Extras / Background</t>
  </si>
  <si>
    <t>Practical FX</t>
  </si>
  <si>
    <t>Animals</t>
  </si>
  <si>
    <t>Vehicles / Picture Cars</t>
  </si>
  <si>
    <t>Special Makeup</t>
  </si>
  <si>
    <t>Special Camera</t>
  </si>
  <si>
    <t>Stunts</t>
  </si>
  <si>
    <t>VFX</t>
  </si>
  <si>
    <t>Location Type</t>
  </si>
  <si>
    <t>Shooting Day</t>
  </si>
  <si>
    <t>Est. Shoot Hours</t>
  </si>
  <si>
    <t>Notes / Flags</t>
  </si>
  <si>
    <t>Script Page</t>
  </si>
  <si>
    <t>1</t>
  </si>
  <si>
    <t>EXT. CHURCH – NIGHT</t>
  </si>
  <si>
    <t>EXT</t>
  </si>
  <si>
    <t>NIGHT</t>
  </si>
  <si>
    <t>3/8</t>
  </si>
  <si>
    <t>Day 1</t>
  </si>
  <si>
    <t>MAN
BROTHER</t>
  </si>
  <si>
    <t>cigarette
church door keys</t>
  </si>
  <si>
    <t>Man: disheveled, raggy clothes; Brother: religious habit/brother's attire</t>
  </si>
  <si>
    <t>wide/long take setup</t>
  </si>
  <si>
    <t>Practical</t>
  </si>
  <si>
    <t>[SCHEDULE]</t>
  </si>
  <si>
    <t>NIGHT shoot – night lighting package required
EXT public space – location permit required</t>
  </si>
  <si>
    <t>2</t>
  </si>
  <si>
    <t>INT. CHURCH ENTRANCE – CONTINUOUS</t>
  </si>
  <si>
    <t>INT</t>
  </si>
  <si>
    <t>2/8</t>
  </si>
  <si>
    <t>MAN</t>
  </si>
  <si>
    <t>lock pick tools (implied)</t>
  </si>
  <si>
    <t>Man: disheveled, raggy clothes, poorly shaven</t>
  </si>
  <si>
    <t>disheveled/sweating makeup for Man</t>
  </si>
  <si>
    <t>handheld camera</t>
  </si>
  <si>
    <t>NIGHT shoot – night lighting package required</t>
  </si>
  <si>
    <t>3</t>
  </si>
  <si>
    <t>EXT. CHURCH – CONTINUOUS</t>
  </si>
  <si>
    <t>1/8</t>
  </si>
  <si>
    <t>BROTHER</t>
  </si>
  <si>
    <t>Brother: religious habit/brother's attire</t>
  </si>
  <si>
    <t>static shot</t>
  </si>
  <si>
    <t>4</t>
  </si>
  <si>
    <t>INT. CHURCH – CONTINUOUS</t>
  </si>
  <si>
    <t>6/8</t>
  </si>
  <si>
    <t>donation box (breakaway/smashable)
scattered money/cash
bag
pocket knife (dollar-store)
rosary
crucifix on wall</t>
  </si>
  <si>
    <t>smashing donation box</t>
  </si>
  <si>
    <t>Man: sweating, tear-up effect</t>
  </si>
  <si>
    <t>dim interior lighting setup
depth-of-field background focus pull</t>
  </si>
  <si>
    <t>Brother grabs Man's shoulders – physical contact between actors
Man bolts and is stopped by Brother – physical restraint</t>
  </si>
  <si>
    <t>NIGHT shoot – night lighting package required
Weapon (pocket knife) – armorer required
Physical contact between actors – stunt coordinator required</t>
  </si>
  <si>
    <t>Account No</t>
  </si>
  <si>
    <t>Description</t>
  </si>
  <si>
    <t>Amount</t>
  </si>
  <si>
    <t>Unit Type</t>
  </si>
  <si>
    <t>Rate</t>
  </si>
  <si>
    <t>Subtotal</t>
  </si>
  <si>
    <t>Fringe %</t>
  </si>
  <si>
    <t>Vendor</t>
  </si>
  <si>
    <t>Vendor URL</t>
  </si>
  <si>
    <t>Script Quote</t>
  </si>
  <si>
    <t>Notes</t>
  </si>
  <si>
    <t>Confidence</t>
  </si>
  <si>
    <t>Populated By</t>
  </si>
  <si>
    <t>1100.01</t>
  </si>
  <si>
    <t>Story option / rights acquisition</t>
  </si>
  <si>
    <t>[DEAL]</t>
  </si>
  <si>
    <t>DEAL</t>
  </si>
  <si>
    <t>1100.02</t>
  </si>
  <si>
    <t>Screenplay development fee</t>
  </si>
  <si>
    <t>1100.03</t>
  </si>
  <si>
    <t>Development legal</t>
  </si>
  <si>
    <t>1100.04</t>
  </si>
  <si>
    <t>Development overhead</t>
  </si>
  <si>
    <t>1200.01</t>
  </si>
  <si>
    <t>Story rights purchase</t>
  </si>
  <si>
    <t>1200.02</t>
  </si>
  <si>
    <t>Writer fee</t>
  </si>
  <si>
    <t>1200.03</t>
  </si>
  <si>
    <t>Continuity / breakdown</t>
  </si>
  <si>
    <t>1200.04</t>
  </si>
  <si>
    <t>Script duplication</t>
  </si>
  <si>
    <t>1400.01</t>
  </si>
  <si>
    <t>Executive Producer fee</t>
  </si>
  <si>
    <t>1400.02</t>
  </si>
  <si>
    <t>Producer fee</t>
  </si>
  <si>
    <t>1400.03</t>
  </si>
  <si>
    <t>Line Producer fee</t>
  </si>
  <si>
    <t>1400.04</t>
  </si>
  <si>
    <t>Producer assistant(s)</t>
  </si>
  <si>
    <t>1500.01</t>
  </si>
  <si>
    <t>Director fee</t>
  </si>
  <si>
    <t>1500.02</t>
  </si>
  <si>
    <t>Director assistant</t>
  </si>
  <si>
    <t>1500.03</t>
  </si>
  <si>
    <t>Storyboard artist</t>
  </si>
  <si>
    <t>1600.01</t>
  </si>
  <si>
    <t>MAN – Lead Cast</t>
  </si>
  <si>
    <t>Days</t>
  </si>
  <si>
    <t>A MAN lurks in the shadows of the church wall.</t>
  </si>
  <si>
    <t>Appears in all 4 scenes. Principal role; carries entire dramatic arc of script.</t>
  </si>
  <si>
    <t>High</t>
  </si>
  <si>
    <t>SCRIPT</t>
  </si>
  <si>
    <t>1600.02</t>
  </si>
  <si>
    <t>BROTHER – Supporting Cast</t>
  </si>
  <si>
    <t>A BROTHER emerges from the church, locks the door with his keys.</t>
  </si>
  <si>
    <t>Appears in scenes 1, 3, and 4. Key supporting role with significant dialogue and physical action.</t>
  </si>
  <si>
    <t>1600.03</t>
  </si>
  <si>
    <t>Casting Director</t>
  </si>
  <si>
    <t>1600.04</t>
  </si>
  <si>
    <t>Casting Associate</t>
  </si>
  <si>
    <t>2100.01</t>
  </si>
  <si>
    <t>Production Manager / UPM</t>
  </si>
  <si>
    <t>SCHEDULE</t>
  </si>
  <si>
    <t>2100.02</t>
  </si>
  <si>
    <t>1st Assistant Director</t>
  </si>
  <si>
    <t>2100.03</t>
  </si>
  <si>
    <t>2nd Assistant Director</t>
  </si>
  <si>
    <t>2100.04</t>
  </si>
  <si>
    <t>Production Coordinator</t>
  </si>
  <si>
    <t>2100.05</t>
  </si>
  <si>
    <t>Production Secretary</t>
  </si>
  <si>
    <t>2100.06</t>
  </si>
  <si>
    <t>Location Manager</t>
  </si>
  <si>
    <t>2100.07</t>
  </si>
  <si>
    <t>Production Accountant</t>
  </si>
  <si>
    <t>2100.08</t>
  </si>
  <si>
    <t>Payroll services</t>
  </si>
  <si>
    <t>2200.01</t>
  </si>
  <si>
    <t>Art Direction - Church interior set dressing (donation box, crucifix, pews/aisle)</t>
  </si>
  <si>
    <t>Allow</t>
  </si>
  <si>
    <t>He finds the donation box, struggles to pry it open, then smashes it</t>
  </si>
  <si>
    <t>Donation box must be practical/breakaway for smashing action. Crucifix hero prop on wall. Church interior dressing required.</t>
  </si>
  <si>
    <t>2200.02</t>
  </si>
  <si>
    <t>Art Direction - Breakaway donation box (practical destructible prop)</t>
  </si>
  <si>
    <t>Purchase</t>
  </si>
  <si>
    <t>struggles to pry it open, then smashes it in frustration. Money scatters</t>
  </si>
  <si>
    <t>Multiple units needed for takes. Must shatter convincingly and scatter prop money.</t>
  </si>
  <si>
    <t>2200.03</t>
  </si>
  <si>
    <t>Art Direction - Prop money (scattered currency)</t>
  </si>
  <si>
    <t>Money scatters across the floor. He crouches to collect it.</t>
  </si>
  <si>
    <t>Prop money sufficient to fill donation box and scatter across floor. Not legal tender.</t>
  </si>
  <si>
    <t>2200.04</t>
  </si>
  <si>
    <t>Production Designer</t>
  </si>
  <si>
    <t>2200.05</t>
  </si>
  <si>
    <t>Art Director</t>
  </si>
  <si>
    <t>2200.06</t>
  </si>
  <si>
    <t>Set Designer / Drafting</t>
  </si>
  <si>
    <t>2200.07</t>
  </si>
  <si>
    <t>Art Department Assistant</t>
  </si>
  <si>
    <t>2200.08</t>
  </si>
  <si>
    <t>Art Department supplies</t>
  </si>
  <si>
    <t>2300.01</t>
  </si>
  <si>
    <t>Set Construction / Location Prep - Church exterior (practical location or build)</t>
  </si>
  <si>
    <t>A small church sits still under streetlight.</t>
  </si>
  <si>
    <t>Practical church location preferred. Exterior and interior required. Lock/door mechanism must be functional for lock-picking action.</t>
  </si>
  <si>
    <t>2300.02</t>
  </si>
  <si>
    <t>Construction Coordinator</t>
  </si>
  <si>
    <t>2300.03</t>
  </si>
  <si>
    <t>Construction labor</t>
  </si>
  <si>
    <t>2300.04</t>
  </si>
  <si>
    <t>Construction materials</t>
  </si>
  <si>
    <t>2300.05</t>
  </si>
  <si>
    <t>Stage / mill rental</t>
  </si>
  <si>
    <t>2400.01</t>
  </si>
  <si>
    <t>Special Effects / Property - Lock-pick practical gag (church door lock)</t>
  </si>
  <si>
    <t>Close-ups of hands picking the locks. Opens the door. Closes the door.</t>
  </si>
  <si>
    <t>Practical lock and pick set required for close-up hero shots. May require duplicates for multiple takes.</t>
  </si>
  <si>
    <t>2400.02</t>
  </si>
  <si>
    <t>Set Decorator</t>
  </si>
  <si>
    <t>2400.03</t>
  </si>
  <si>
    <t>Swing Gang</t>
  </si>
  <si>
    <t>2400.04</t>
  </si>
  <si>
    <t>Set dressings — purchased</t>
  </si>
  <si>
    <t>2400.05</t>
  </si>
  <si>
    <t>Set dressings — rented</t>
  </si>
  <si>
    <t>2400.06</t>
  </si>
  <si>
    <t>Graphics / signage</t>
  </si>
  <si>
    <t>2500.01</t>
  </si>
  <si>
    <t>Props - Pocket knife (dollar-store prop knife, hero)</t>
  </si>
  <si>
    <t>He spins around and whips out a puny dollar-store pocket knife.</t>
  </si>
  <si>
    <t>Script specifies cheap dollar-store style knife. Multiple units for takes. Armorer required per weapon rules.</t>
  </si>
  <si>
    <t>2500.02</t>
  </si>
  <si>
    <t>Props - Armorer (knife/weapon on set safety)</t>
  </si>
  <si>
    <t>whips out a puny dollar-store pocket knife. The Man stares at him, knife still in hand.</t>
  </si>
  <si>
    <t>Knife is present in multiple scenes and brandished/held throughout climax. Armorer legally required on set whenever weapon is present.</t>
  </si>
  <si>
    <t>2500.03</t>
  </si>
  <si>
    <t>Props - Rosary (hero prop, subtly placed in bag by Brother)</t>
  </si>
  <si>
    <t>very subtly slips in a rosary as well</t>
  </si>
  <si>
    <t>Hero prop rosary. Duplicate unit recommended. Must be clearly visible in close-up if required.</t>
  </si>
  <si>
    <t>2500.04</t>
  </si>
  <si>
    <t>Props - Crucifix (wall-mounted hero prop, church interior)</t>
  </si>
  <si>
    <t>He makes eye contact with a CRUCIFIX on the wall. It watches him.</t>
  </si>
  <si>
    <t>Featured hero prop with dedicated screen time. Must read clearly on camera from across the church.</t>
  </si>
  <si>
    <t>2500.05</t>
  </si>
  <si>
    <t>Props - Bag (carried by Man to collect stolen money)</t>
  </si>
  <si>
    <t>He stands, bag in hand... Brother places the last of the money in the bag</t>
  </si>
  <si>
    <t>Bag is a recurring hand prop throughout the script. Duplicate recommended.</t>
  </si>
  <si>
    <t>2500.06</t>
  </si>
  <si>
    <t>Props - Cigarette / smoking practical (Man smoking in shadows)</t>
  </si>
  <si>
    <t>cigarette smoke puffs out of the darkness and is illuminated by the streetlight.</t>
  </si>
  <si>
    <t>Practical cigarettes or herbal cigarette alternatives required. Smoke effect may need coordination with Electric (fog/smoke).</t>
  </si>
  <si>
    <t>2500.07</t>
  </si>
  <si>
    <t>Props - Church keys (Brother locks door with keys)</t>
  </si>
  <si>
    <t>A BROTHER emerges from the church, locks the door with his keys</t>
  </si>
  <si>
    <t>Practical keys used in action. Duplicate set recommended.</t>
  </si>
  <si>
    <t>2500.08</t>
  </si>
  <si>
    <t>Property Master</t>
  </si>
  <si>
    <t>2500.09</t>
  </si>
  <si>
    <t>Assistant Property Master</t>
  </si>
  <si>
    <t>2500.10</t>
  </si>
  <si>
    <t>Prop rentals</t>
  </si>
  <si>
    <t>2500.11</t>
  </si>
  <si>
    <t>Prop purchases</t>
  </si>
  <si>
    <t>2600.01</t>
  </si>
  <si>
    <t>Handheld camera package — INT church entrance sequence</t>
  </si>
  <si>
    <t>Rental-Day</t>
  </si>
  <si>
    <t>HANDHELD. Frantic cuts. Close-ups of hands picking the locks.</t>
  </si>
  <si>
    <t>Director calls out handheld explicitly; likely requires fluid head rig and operator</t>
  </si>
  <si>
    <t>2600.02</t>
  </si>
  <si>
    <t>Additional camera unit — wide/static exterior shots</t>
  </si>
  <si>
    <t>WIDE. Long take. A small church sits still under streetlight.</t>
  </si>
  <si>
    <t>Script specifies wide long-take and separate static exterior shots; may require second camera setup</t>
  </si>
  <si>
    <t>Medium</t>
  </si>
  <si>
    <t>2600.03</t>
  </si>
  <si>
    <t>Director of Photography</t>
  </si>
  <si>
    <t>2600.04</t>
  </si>
  <si>
    <t>Camera Operator</t>
  </si>
  <si>
    <t>2600.05</t>
  </si>
  <si>
    <t>1st AC / Focus Puller</t>
  </si>
  <si>
    <t>2600.06</t>
  </si>
  <si>
    <t>2nd AC / Loader</t>
  </si>
  <si>
    <t>2600.07</t>
  </si>
  <si>
    <t>Main Camera Package</t>
  </si>
  <si>
    <t>2700.01</t>
  </si>
  <si>
    <t>Night exterior lighting package — church exterior</t>
  </si>
  <si>
    <t>Full night exterior shoot; streetlight practical must be augmented with grip/electric package</t>
  </si>
  <si>
    <t>2700.02</t>
  </si>
  <si>
    <t>Dim interior church lighting package</t>
  </si>
  <si>
    <t>The Man moves through the dim interior.</t>
  </si>
  <si>
    <t>Low-key motivated lighting required to match described dim church interior at night</t>
  </si>
  <si>
    <t>2700.03</t>
  </si>
  <si>
    <t>Practical streetlight — motivated exterior source</t>
  </si>
  <si>
    <t>Streetlight is a scripted story element used to illuminate smoke; may need practical swap or supplemental unit</t>
  </si>
  <si>
    <t>2700.04</t>
  </si>
  <si>
    <t>Gaffer</t>
  </si>
  <si>
    <t>2700.05</t>
  </si>
  <si>
    <t>Best Boy Electric</t>
  </si>
  <si>
    <t>2700.06</t>
  </si>
  <si>
    <t>Electricians</t>
  </si>
  <si>
    <t>2700.07</t>
  </si>
  <si>
    <t>Lighting Package</t>
  </si>
  <si>
    <t>2700.08</t>
  </si>
  <si>
    <t>Generator rental</t>
  </si>
  <si>
    <t>2800.01</t>
  </si>
  <si>
    <t>Key Grip</t>
  </si>
  <si>
    <t>2800.02</t>
  </si>
  <si>
    <t>Best Boy Grip</t>
  </si>
  <si>
    <t>2800.03</t>
  </si>
  <si>
    <t>Dolly Grip</t>
  </si>
  <si>
    <t>2800.04</t>
  </si>
  <si>
    <t>Grip Package</t>
  </si>
  <si>
    <t>2900.01</t>
  </si>
  <si>
    <t>Production Sound Mixer</t>
  </si>
  <si>
    <t>2900.02</t>
  </si>
  <si>
    <t>Boom Operator</t>
  </si>
  <si>
    <t>2900.03</t>
  </si>
  <si>
    <t>Sound Package</t>
  </si>
  <si>
    <t>2900.04</t>
  </si>
  <si>
    <t>Walkie-talkies</t>
  </si>
  <si>
    <t>3000.01</t>
  </si>
  <si>
    <t>Stunt coordinator — physical grab/shoulder restraint between actors</t>
  </si>
  <si>
    <t>He stops the Man and grabs his shoulders. Firm, strong, but not violent.</t>
  </si>
  <si>
    <t>Physical contact between actors legally requires stunt coordinator on set; also covers hug with knife in hand</t>
  </si>
  <si>
    <t>3000.02</t>
  </si>
  <si>
    <t>Safety officer — knife handling on set (pocket knife prop)</t>
  </si>
  <si>
    <t>Weapon present throughout multiple pages; knife brandished, held during hug — safety officer and armorer protocol required</t>
  </si>
  <si>
    <t>3000.03</t>
  </si>
  <si>
    <t>FX Coordinator</t>
  </si>
  <si>
    <t>3000.04</t>
  </si>
  <si>
    <t>FX Crew</t>
  </si>
  <si>
    <t>3000.05</t>
  </si>
  <si>
    <t>FX Materials / consumables</t>
  </si>
  <si>
    <t>3100.01</t>
  </si>
  <si>
    <t>VFX Supervisor</t>
  </si>
  <si>
    <t>3100.02</t>
  </si>
  <si>
    <t>VFX Production / labor</t>
  </si>
  <si>
    <t>3100.03</t>
  </si>
  <si>
    <t>VFX Software / tools</t>
  </si>
  <si>
    <t>3200.01</t>
  </si>
  <si>
    <t>Set Carpenter (standby)</t>
  </si>
  <si>
    <t>3200.02</t>
  </si>
  <si>
    <t>Standby Painter</t>
  </si>
  <si>
    <t>3200.03</t>
  </si>
  <si>
    <t>Craft Service</t>
  </si>
  <si>
    <t>3200.04</t>
  </si>
  <si>
    <t>First Aid / On-set Nurse</t>
  </si>
  <si>
    <t>3200.05</t>
  </si>
  <si>
    <t>Security</t>
  </si>
  <si>
    <t>3300.01</t>
  </si>
  <si>
    <t>Wardrobe – The Man: disheveled, raggy, worn clothing</t>
  </si>
  <si>
    <t>Disheveled. Raggy clothes. Poorly shaven.</t>
  </si>
  <si>
    <t>Character requires distressed, worn wardrobe to convey homelessness/destitution. Single costume throughout.</t>
  </si>
  <si>
    <t>3300.02</t>
  </si>
  <si>
    <t>Wardrobe – The Brother: religious habit/clerical dress</t>
  </si>
  <si>
    <t>Character identified as a religious Brother; requires appropriate clerical or monastic habit.</t>
  </si>
  <si>
    <t>3300.03</t>
  </si>
  <si>
    <t>Costume Designer</t>
  </si>
  <si>
    <t>3300.04</t>
  </si>
  <si>
    <t>Wardrobe Supervisor</t>
  </si>
  <si>
    <t>3300.05</t>
  </si>
  <si>
    <t>Costumer(s)</t>
  </si>
  <si>
    <t>3300.06</t>
  </si>
  <si>
    <t>Wardrobe Rental</t>
  </si>
  <si>
    <t>3300.07</t>
  </si>
  <si>
    <t>Wardrobe Purchases</t>
  </si>
  <si>
    <t>3300.08</t>
  </si>
  <si>
    <t>Dry cleaning / laundry</t>
  </si>
  <si>
    <t>3400.01</t>
  </si>
  <si>
    <t>Makeup &amp; Hair – The Man: stubble/poorly shaven look, sweat effect</t>
  </si>
  <si>
    <t>Poorly shaven. His face is flustered, sweating, desperate, and angry.</t>
  </si>
  <si>
    <t>Script explicitly calls out poorly shaven face and sweating; requires makeup application for stubble and perspiration effect.</t>
  </si>
  <si>
    <t>3400.02</t>
  </si>
  <si>
    <t>Head Makeup Artist</t>
  </si>
  <si>
    <t>3400.03</t>
  </si>
  <si>
    <t>Key Hair Stylist</t>
  </si>
  <si>
    <t>3400.04</t>
  </si>
  <si>
    <t>Additional Makeup / Hair</t>
  </si>
  <si>
    <t>3400.05</t>
  </si>
  <si>
    <t>Makeup Supplies</t>
  </si>
  <si>
    <t>3500.01</t>
  </si>
  <si>
    <t>Locations – Permit &amp; fees: EXT. Church exterior, public/street-facing location, NIGHT</t>
  </si>
  <si>
    <t>EXT. CHURCH – NIGHT A small church sits still under streetlight.</t>
  </si>
  <si>
    <t>Exterior church on a public street at night requires location permit, parking, and possible street use fees. Streetlight referenced implies public right-of-way.</t>
  </si>
  <si>
    <t>3500.02</t>
  </si>
  <si>
    <t>Locations – Church interior rental (INT. CHURCH / INT. CHURCH ENTRANCE)</t>
  </si>
  <si>
    <t>INT. CHURCH ENTRANCE – CONTINUOUS… INT. CHURCH – CONTINUOUS</t>
  </si>
  <si>
    <t>Multiple interior church scenes require facility rental agreement with the church or suitable substitute location.</t>
  </si>
  <si>
    <t>3500.03</t>
  </si>
  <si>
    <t>3500.04</t>
  </si>
  <si>
    <t>Location Scout / Survey</t>
  </si>
  <si>
    <t>3500.05</t>
  </si>
  <si>
    <t>Police / fire standby</t>
  </si>
  <si>
    <t>3500.06</t>
  </si>
  <si>
    <t>Catering</t>
  </si>
  <si>
    <t>3500.07</t>
  </si>
  <si>
    <t>Parking / logistics</t>
  </si>
  <si>
    <t>3600.01</t>
  </si>
  <si>
    <t>Transportation Coordinator</t>
  </si>
  <si>
    <t>3600.02</t>
  </si>
  <si>
    <t>Captain Driver</t>
  </si>
  <si>
    <t>3600.03</t>
  </si>
  <si>
    <t>Drivers</t>
  </si>
  <si>
    <t>3600.04</t>
  </si>
  <si>
    <t>Production vehicles (trucks / vans)</t>
  </si>
  <si>
    <t>3600.05</t>
  </si>
  <si>
    <t>Honeywagon / basecamp</t>
  </si>
  <si>
    <t>3800.01</t>
  </si>
  <si>
    <t>Stage rental</t>
  </si>
  <si>
    <t>3800.02</t>
  </si>
  <si>
    <t>Back lot rental</t>
  </si>
  <si>
    <t>3800.03</t>
  </si>
  <si>
    <t>Electric power (stage)</t>
  </si>
  <si>
    <t>3800.04</t>
  </si>
  <si>
    <t>Heating / AC</t>
  </si>
  <si>
    <t>3900.01</t>
  </si>
  <si>
    <t>Extras Casting fee</t>
  </si>
  <si>
    <t>3900.02</t>
  </si>
  <si>
    <t>Stand-ins</t>
  </si>
  <si>
    <t>3900.03</t>
  </si>
  <si>
    <t>Welfare Worker / Teacher (minors)</t>
  </si>
  <si>
    <t>5100.01</t>
  </si>
  <si>
    <t>Post Production Supervisor</t>
  </si>
  <si>
    <t>5100.02</t>
  </si>
  <si>
    <t>Editor</t>
  </si>
  <si>
    <t>5100.03</t>
  </si>
  <si>
    <t>Assistant Editor(s)</t>
  </si>
  <si>
    <t>5100.04</t>
  </si>
  <si>
    <t>Editing Room / Avid rental</t>
  </si>
  <si>
    <t>5200.01</t>
  </si>
  <si>
    <t>Color grading / Digital Intermediate</t>
  </si>
  <si>
    <t>5200.02</t>
  </si>
  <si>
    <t>Digital deliverables</t>
  </si>
  <si>
    <t>5200.03</t>
  </si>
  <si>
    <t>Archival / backup</t>
  </si>
  <si>
    <t>5300.01</t>
  </si>
  <si>
    <t>Sound Designer</t>
  </si>
  <si>
    <t>5300.02</t>
  </si>
  <si>
    <t>Foley Artist + Studio</t>
  </si>
  <si>
    <t>5300.03</t>
  </si>
  <si>
    <t>ADR / Looping</t>
  </si>
  <si>
    <t>5300.04</t>
  </si>
  <si>
    <t>Final Mix</t>
  </si>
  <si>
    <t>5400.01</t>
  </si>
  <si>
    <t>Composer fee</t>
  </si>
  <si>
    <t>5400.02</t>
  </si>
  <si>
    <t>Musicians / orchestration</t>
  </si>
  <si>
    <t>5400.03</t>
  </si>
  <si>
    <t>Music rights / licensing</t>
  </si>
  <si>
    <t>5400.04</t>
  </si>
  <si>
    <t>Score recording studio</t>
  </si>
  <si>
    <t>5500.01</t>
  </si>
  <si>
    <t>Main titles design</t>
  </si>
  <si>
    <t>5500.02</t>
  </si>
  <si>
    <t>End credits</t>
  </si>
  <si>
    <t>5500.03</t>
  </si>
  <si>
    <t>Title card mastering</t>
  </si>
  <si>
    <t>5600.01</t>
  </si>
  <si>
    <t>Opticals / visual effects (post)</t>
  </si>
  <si>
    <t>5600.02</t>
  </si>
  <si>
    <t>Digital intermediate (opticals)</t>
  </si>
  <si>
    <t>5700.01</t>
  </si>
  <si>
    <t>Video deliverables / mastering</t>
  </si>
  <si>
    <t>5700.02</t>
  </si>
  <si>
    <t>Streaming / broadcast specs</t>
  </si>
  <si>
    <t>6100.01</t>
  </si>
  <si>
    <t>Cast insurance</t>
  </si>
  <si>
    <t>6100.02</t>
  </si>
  <si>
    <t>Negative / production insurance</t>
  </si>
  <si>
    <t>6100.03</t>
  </si>
  <si>
    <t>E&amp;O insurance</t>
  </si>
  <si>
    <t>6100.04</t>
  </si>
  <si>
    <t>General liability</t>
  </si>
  <si>
    <t>6200.01</t>
  </si>
  <si>
    <t>Legal fees</t>
  </si>
  <si>
    <t>6200.02</t>
  </si>
  <si>
    <t>Contract preparation</t>
  </si>
  <si>
    <t>6200.03</t>
  </si>
  <si>
    <t>Clearances / chain of title</t>
  </si>
  <si>
    <t>6300.01</t>
  </si>
  <si>
    <t>Unit Publicist</t>
  </si>
  <si>
    <t>6300.02</t>
  </si>
  <si>
    <t>Electronic Press Kit (EPK)</t>
  </si>
  <si>
    <t>6300.03</t>
  </si>
  <si>
    <t>Stills photographer</t>
  </si>
  <si>
    <t>6400.01</t>
  </si>
  <si>
    <t>Accounting / payroll fees</t>
  </si>
  <si>
    <t>6400.02</t>
  </si>
  <si>
    <t>Bank charges</t>
  </si>
  <si>
    <t>6400.03</t>
  </si>
  <si>
    <t>Completion bond (~2.5% of 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</si>
</sst>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6C757D"/>
      <name val="Calibri"/>
    </font>
    <font>
      <u/>
      <sz val="10"/>
      <color rgb="FF0563C1"/>
      <name val="Calibri"/>
    </font>
    <font>
      <sz val="10"/>
      <color rgb="FF6C757D"/>
      <name val="Calibri"/>
    </font>
    <font>
      <sz val="10"/>
      <color rgb="FF385723"/>
      <name val="Calibri"/>
    </font>
    <font>
      <i/>
      <sz val="10"/>
      <name val="Calibri"/>
    </font>
    <font>
      <b/>
      <sz val="10"/>
      <color rgb="FF375623"/>
      <name val="Calibri"/>
    </font>
    <font>
      <b/>
      <sz val="10"/>
      <color rgb="FF974706"/>
      <name val="Calibri"/>
    </font>
    <font>
      <b/>
      <sz val="10"/>
      <name val="Calibri"/>
    </font>
    <font>
      <b/>
      <sz val="10"/>
      <color rgb="FF385723"/>
      <name val="Calibri"/>
    </font>
    <font>
      <b/>
      <sz val="11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9C6500"/>
        <bgColor rgb="FF9C6500"/>
      </patternFill>
    </fill>
    <fill>
      <patternFill patternType="solid">
        <fgColor rgb="FF375623"/>
        <bgColor rgb="FF375623"/>
      </patternFill>
    </fill>
    <fill>
      <patternFill patternType="solid">
        <fgColor rgb="FF2F5597"/>
        <bgColor rgb="FF2F5597"/>
      </patternFill>
    </fill>
    <fill>
      <patternFill patternType="solid">
        <fgColor rgb="FF833C00"/>
        <bgColor rgb="FF833C00"/>
      </patternFill>
    </fill>
    <fill>
      <patternFill patternType="solid">
        <fgColor rgb="FF3E1153"/>
        <bgColor rgb="FF3E1153"/>
      </patternFill>
    </fill>
    <fill>
      <patternFill patternType="solid">
        <fgColor rgb="FF843C0C"/>
        <bgColor rgb="FF843C0C"/>
      </patternFill>
    </fill>
    <fill>
      <patternFill patternType="solid">
        <fgColor rgb="FF843C78"/>
        <bgColor rgb="FF843C78"/>
      </patternFill>
    </fill>
    <fill>
      <patternFill patternType="solid">
        <fgColor rgb="FF006E6F"/>
        <bgColor rgb="FF006E6F"/>
      </patternFill>
    </fill>
    <fill>
      <patternFill patternType="solid">
        <fgColor rgb="FF404040"/>
        <bgColor rgb="FF404040"/>
      </patternFill>
    </fill>
    <fill>
      <patternFill patternType="solid">
        <fgColor rgb="FF006B8A"/>
        <bgColor rgb="FF006B8A"/>
      </patternFill>
    </fill>
    <fill>
      <patternFill patternType="solid">
        <fgColor rgb="FFF1F3F5"/>
        <bgColor rgb="FFF1F3F5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3" fillId="0" borderId="0" xfId="0" applyFont="1"/>
    <xf numFmtId="164" fontId="7" fillId="0" borderId="0" xfId="0" applyNumberFormat="1" applyFont="1"/>
    <xf numFmtId="0" fontId="11" fillId="18" borderId="0" xfId="0" applyFont="1" applyFill="1"/>
    <xf numFmtId="0" fontId="0" fillId="18" borderId="0" xfId="0" applyFill="1"/>
    <xf numFmtId="164" fontId="12" fillId="18" borderId="0" xfId="0" applyNumberFormat="1" applyFont="1" applyFill="1"/>
    <xf numFmtId="0" fontId="13" fillId="2" borderId="0" xfId="0" applyFont="1" applyFill="1"/>
    <xf numFmtId="164" fontId="13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14" borderId="0" xfId="0" applyFont="1" applyFill="1"/>
    <xf numFmtId="0" fontId="4" fillId="14" borderId="0" xfId="0" applyFont="1" applyFill="1" applyAlignment="1">
      <alignment vertical="top" wrapText="1"/>
    </xf>
    <xf numFmtId="0" fontId="0" fillId="14" borderId="0" xfId="0" applyFill="1"/>
    <xf numFmtId="0" fontId="6" fillId="15" borderId="0" xfId="0" applyFont="1" applyFill="1" applyAlignment="1">
      <alignment horizontal="center" vertical="top"/>
    </xf>
    <xf numFmtId="164" fontId="0" fillId="0" borderId="0" xfId="0" applyNumberFormat="1"/>
    <xf numFmtId="0" fontId="5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9" fillId="16" borderId="0" xfId="0" applyFont="1" applyFill="1" applyAlignment="1">
      <alignment horizontal="center" vertical="top"/>
    </xf>
    <xf numFmtId="0" fontId="6" fillId="17" borderId="0" xfId="0" applyFont="1" applyFill="1" applyAlignment="1">
      <alignment horizontal="center" vertical="top"/>
    </xf>
    <xf numFmtId="0" fontId="10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Relationship Id="rId4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7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Relationship Id="rId6" Type="http://schemas.openxmlformats.org/officeDocument/2006/relationships/hyperlink" Target="file:///C:\Users\Becket%20Nelson\OneDrive\Claude%20Code%20Stuff\ScriptBreakdown\Give-and-Take-Script.pdf" TargetMode="External"/><Relationship Id="rId5" Type="http://schemas.openxmlformats.org/officeDocument/2006/relationships/hyperlink" Target="file:///C:\Users\Becket%20Nelson\OneDrive\Claude%20Code%20Stuff\ScriptBreakdown\Give-and-Take-Script.pdf" TargetMode="External"/><Relationship Id="rId4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Becket%20Nelson\OneDrive\Claude%20Code%20Stuff\ScriptBreakdown\Give-and-Take-Script.pdf" TargetMode="External"/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Becket%20Nelson\OneDrive\Claude%20Code%20Stuff\ScriptBreakdown\Give-and-Take-Script.pdf" TargetMode="External"/><Relationship Id="rId1" Type="http://schemas.openxmlformats.org/officeDocument/2006/relationships/hyperlink" Target="file:///C:\Users\Becket%20Nelson\OneDrive\Claude%20Code%20Stuff\ScriptBreakdown\Give-and-Take-Scri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sqref="A1:C1"/>
    </sheetView>
  </sheetViews>
  <sheetFormatPr defaultRowHeight="14.5" x14ac:dyDescent="0.35"/>
  <cols>
    <col min="1" max="1" width="52" customWidth="1"/>
    <col min="2" max="2" width="18" customWidth="1"/>
    <col min="3" max="3" width="16" customWidth="1"/>
  </cols>
  <sheetData>
    <row r="1" spans="1:3" ht="18.5" x14ac:dyDescent="0.45">
      <c r="A1" s="37" t="s">
        <v>0</v>
      </c>
      <c r="B1" s="38"/>
      <c r="C1" s="38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/>
      <c r="C3" s="3"/>
    </row>
    <row r="4" spans="1:3" x14ac:dyDescent="0.35">
      <c r="A4" s="4" t="s">
        <v>5</v>
      </c>
      <c r="C4" s="5">
        <f>SUM('1100'!H:H,'1200'!H:H)</f>
        <v>0</v>
      </c>
    </row>
    <row r="5" spans="1:3" x14ac:dyDescent="0.35">
      <c r="A5" s="4" t="s">
        <v>6</v>
      </c>
      <c r="C5" s="5">
        <f>SUM('1400'!H:H)</f>
        <v>0</v>
      </c>
    </row>
    <row r="6" spans="1:3" x14ac:dyDescent="0.35">
      <c r="A6" s="4" t="s">
        <v>7</v>
      </c>
      <c r="C6" s="5">
        <f>SUM('1500'!H:H)</f>
        <v>0</v>
      </c>
    </row>
    <row r="7" spans="1:3" x14ac:dyDescent="0.35">
      <c r="A7" s="4" t="s">
        <v>8</v>
      </c>
      <c r="C7" s="5" t="e">
        <f>SUM('1600'!H:H)</f>
        <v>#VALUE!</v>
      </c>
    </row>
    <row r="8" spans="1:3" x14ac:dyDescent="0.35">
      <c r="A8" s="6" t="s">
        <v>9</v>
      </c>
      <c r="B8" s="7"/>
      <c r="C8" s="8" t="e">
        <f>SUM(C4:C7)</f>
        <v>#VALUE!</v>
      </c>
    </row>
    <row r="10" spans="1:3" x14ac:dyDescent="0.35">
      <c r="A10" s="2" t="s">
        <v>10</v>
      </c>
      <c r="B10" s="3"/>
      <c r="C10" s="3"/>
    </row>
    <row r="11" spans="1:3" x14ac:dyDescent="0.35">
      <c r="A11" s="4" t="s">
        <v>11</v>
      </c>
      <c r="C11" s="5">
        <f>SUM('2100'!H:H)</f>
        <v>0</v>
      </c>
    </row>
    <row r="12" spans="1:3" x14ac:dyDescent="0.35">
      <c r="A12" s="4" t="s">
        <v>12</v>
      </c>
      <c r="C12" s="5" t="e">
        <f>SUM('2200'!H:H,'2300'!H:H,'2400'!H:H)</f>
        <v>#VALUE!</v>
      </c>
    </row>
    <row r="13" spans="1:3" x14ac:dyDescent="0.35">
      <c r="A13" s="4" t="s">
        <v>13</v>
      </c>
      <c r="C13" s="5" t="e">
        <f>SUM('2500'!H:H)</f>
        <v>#VALUE!</v>
      </c>
    </row>
    <row r="14" spans="1:3" x14ac:dyDescent="0.35">
      <c r="A14" s="4" t="s">
        <v>14</v>
      </c>
      <c r="C14" s="5" t="e">
        <f>SUM('2600'!H:H)</f>
        <v>#VALUE!</v>
      </c>
    </row>
    <row r="15" spans="1:3" x14ac:dyDescent="0.35">
      <c r="A15" s="4" t="s">
        <v>15</v>
      </c>
      <c r="C15" s="5" t="e">
        <f>SUM('2700'!H:H)</f>
        <v>#VALUE!</v>
      </c>
    </row>
    <row r="16" spans="1:3" x14ac:dyDescent="0.35">
      <c r="A16" s="4" t="s">
        <v>16</v>
      </c>
      <c r="C16" s="5">
        <f>SUM('2800'!H:H)</f>
        <v>0</v>
      </c>
    </row>
    <row r="17" spans="1:3" x14ac:dyDescent="0.35">
      <c r="A17" s="4" t="s">
        <v>17</v>
      </c>
      <c r="C17" s="5">
        <f>SUM('2900'!H:H)</f>
        <v>0</v>
      </c>
    </row>
    <row r="18" spans="1:3" x14ac:dyDescent="0.35">
      <c r="A18" s="4" t="s">
        <v>18</v>
      </c>
      <c r="C18" s="5" t="e">
        <f>SUM('3000'!H:H,'3100'!H:H)</f>
        <v>#VALUE!</v>
      </c>
    </row>
    <row r="19" spans="1:3" x14ac:dyDescent="0.35">
      <c r="A19" s="4" t="s">
        <v>19</v>
      </c>
      <c r="C19" s="5">
        <f>SUM('3200'!H:H)</f>
        <v>0</v>
      </c>
    </row>
    <row r="20" spans="1:3" x14ac:dyDescent="0.35">
      <c r="A20" s="4" t="s">
        <v>20</v>
      </c>
      <c r="C20" s="5" t="e">
        <f>SUM('3300'!H:H)</f>
        <v>#VALUE!</v>
      </c>
    </row>
    <row r="21" spans="1:3" x14ac:dyDescent="0.35">
      <c r="A21" s="4" t="s">
        <v>21</v>
      </c>
      <c r="C21" s="5" t="e">
        <f>SUM('3400'!H:H)</f>
        <v>#VALUE!</v>
      </c>
    </row>
    <row r="22" spans="1:3" x14ac:dyDescent="0.35">
      <c r="A22" s="4" t="s">
        <v>22</v>
      </c>
      <c r="C22" s="5" t="e">
        <f>SUM('3500'!H:H)</f>
        <v>#VALUE!</v>
      </c>
    </row>
    <row r="23" spans="1:3" x14ac:dyDescent="0.35">
      <c r="A23" s="4" t="s">
        <v>23</v>
      </c>
      <c r="C23" s="5">
        <f>SUM('3600'!H:H)</f>
        <v>0</v>
      </c>
    </row>
    <row r="24" spans="1:3" x14ac:dyDescent="0.35">
      <c r="A24" s="4" t="s">
        <v>24</v>
      </c>
      <c r="C24" s="5">
        <f>SUM('3800'!H:H,'3900'!H:H)</f>
        <v>0</v>
      </c>
    </row>
    <row r="25" spans="1:3" x14ac:dyDescent="0.35">
      <c r="A25" s="6" t="s">
        <v>25</v>
      </c>
      <c r="B25" s="7"/>
      <c r="C25" s="8" t="e">
        <f>SUM(C11:C24)</f>
        <v>#VALUE!</v>
      </c>
    </row>
    <row r="27" spans="1:3" x14ac:dyDescent="0.35">
      <c r="A27" s="2" t="s">
        <v>26</v>
      </c>
      <c r="B27" s="3"/>
      <c r="C27" s="3"/>
    </row>
    <row r="28" spans="1:3" x14ac:dyDescent="0.35">
      <c r="A28" s="4" t="s">
        <v>27</v>
      </c>
      <c r="C28" s="5">
        <f>SUM('5100'!H:H,'5200'!H:H,'5300'!H:H,'5400'!H:H,'5500'!H:H,'5600'!H:H,'5700'!H:H)</f>
        <v>0</v>
      </c>
    </row>
    <row r="29" spans="1:3" x14ac:dyDescent="0.35">
      <c r="A29" s="6" t="s">
        <v>28</v>
      </c>
      <c r="B29" s="7"/>
      <c r="C29" s="8">
        <f>SUM(C28)</f>
        <v>0</v>
      </c>
    </row>
    <row r="31" spans="1:3" x14ac:dyDescent="0.35">
      <c r="A31" s="2" t="s">
        <v>29</v>
      </c>
      <c r="B31" s="3"/>
      <c r="C31" s="3"/>
    </row>
    <row r="32" spans="1:3" x14ac:dyDescent="0.35">
      <c r="A32" s="4" t="s">
        <v>30</v>
      </c>
      <c r="C32" s="5">
        <f>SUM('6100'!H:H)</f>
        <v>0</v>
      </c>
    </row>
    <row r="33" spans="1:3" x14ac:dyDescent="0.35">
      <c r="A33" s="4" t="s">
        <v>31</v>
      </c>
      <c r="C33" s="5">
        <f>SUM('6200'!H:H)</f>
        <v>0</v>
      </c>
    </row>
    <row r="34" spans="1:3" x14ac:dyDescent="0.35">
      <c r="A34" s="4" t="s">
        <v>32</v>
      </c>
      <c r="C34" s="5">
        <f>SUM('6300'!H:H)</f>
        <v>0</v>
      </c>
    </row>
    <row r="35" spans="1:3" x14ac:dyDescent="0.35">
      <c r="A35" s="4" t="s">
        <v>33</v>
      </c>
      <c r="C35" s="5" t="e">
        <f>(C8+C25+C29)*0.1</f>
        <v>#VALUE!</v>
      </c>
    </row>
    <row r="36" spans="1:3" x14ac:dyDescent="0.35">
      <c r="A36" s="9" t="s">
        <v>34</v>
      </c>
      <c r="B36" s="3"/>
      <c r="C36" s="10" t="e">
        <f>C8+C25+C29+C32+C33+C34+C35</f>
        <v>#VALUE!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8" customWidth="1"/>
    <col min="2" max="2" width="32" customWidth="1"/>
    <col min="3" max="3" width="8" customWidth="1"/>
    <col min="4" max="6" width="10" customWidth="1"/>
    <col min="7" max="7" width="22" customWidth="1"/>
    <col min="8" max="8" width="16" customWidth="1"/>
    <col min="9" max="9" width="22" customWidth="1"/>
    <col min="10" max="10" width="16" customWidth="1"/>
    <col min="11" max="11" width="18" customWidth="1"/>
    <col min="12" max="12" width="13" customWidth="1"/>
    <col min="13" max="13" width="20" customWidth="1"/>
    <col min="14" max="15" width="16" customWidth="1"/>
    <col min="16" max="16" width="20" customWidth="1"/>
    <col min="17" max="17" width="18" customWidth="1"/>
    <col min="18" max="18" width="14" customWidth="1"/>
    <col min="19" max="19" width="12" customWidth="1"/>
    <col min="20" max="20" width="14" customWidth="1"/>
    <col min="21" max="21" width="30" customWidth="1"/>
    <col min="22" max="22" width="11" customWidth="1"/>
  </cols>
  <sheetData>
    <row r="1" spans="1:22" x14ac:dyDescent="0.35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3" t="s">
        <v>42</v>
      </c>
      <c r="I1" s="14" t="s">
        <v>13</v>
      </c>
      <c r="J1" s="15" t="s">
        <v>43</v>
      </c>
      <c r="K1" s="16" t="s">
        <v>20</v>
      </c>
      <c r="L1" s="17" t="s">
        <v>44</v>
      </c>
      <c r="M1" s="18" t="s">
        <v>45</v>
      </c>
      <c r="N1" s="19" t="s">
        <v>46</v>
      </c>
      <c r="O1" s="20" t="s">
        <v>47</v>
      </c>
      <c r="P1" s="21" t="s">
        <v>48</v>
      </c>
      <c r="Q1" s="22" t="s">
        <v>49</v>
      </c>
      <c r="R1" s="11" t="s">
        <v>50</v>
      </c>
      <c r="S1" s="11" t="s">
        <v>51</v>
      </c>
      <c r="T1" s="11" t="s">
        <v>52</v>
      </c>
      <c r="U1" s="11" t="s">
        <v>53</v>
      </c>
      <c r="V1" s="11" t="s">
        <v>54</v>
      </c>
    </row>
    <row r="2" spans="1:22" ht="45" customHeight="1" x14ac:dyDescent="0.35">
      <c r="A2" s="23" t="s">
        <v>55</v>
      </c>
      <c r="B2" s="23" t="s">
        <v>56</v>
      </c>
      <c r="C2" s="23" t="s">
        <v>57</v>
      </c>
      <c r="D2" s="23" t="s">
        <v>58</v>
      </c>
      <c r="E2" s="23" t="s">
        <v>59</v>
      </c>
      <c r="F2" s="23" t="s">
        <v>60</v>
      </c>
      <c r="G2" s="23" t="s">
        <v>61</v>
      </c>
      <c r="H2" s="23"/>
      <c r="I2" s="23" t="s">
        <v>62</v>
      </c>
      <c r="J2" s="23"/>
      <c r="K2" s="23" t="s">
        <v>63</v>
      </c>
      <c r="L2" s="23"/>
      <c r="M2" s="23"/>
      <c r="N2" s="23"/>
      <c r="O2" s="23" t="s">
        <v>64</v>
      </c>
      <c r="P2" s="23"/>
      <c r="Q2" s="23"/>
      <c r="R2" s="23" t="s">
        <v>65</v>
      </c>
      <c r="S2" s="24" t="s">
        <v>66</v>
      </c>
      <c r="T2" s="24" t="s">
        <v>66</v>
      </c>
      <c r="U2" s="23" t="s">
        <v>67</v>
      </c>
      <c r="V2" s="25">
        <v>2</v>
      </c>
    </row>
    <row r="3" spans="1:22" ht="45" customHeight="1" x14ac:dyDescent="0.35">
      <c r="A3" s="23" t="s">
        <v>68</v>
      </c>
      <c r="B3" s="23" t="s">
        <v>69</v>
      </c>
      <c r="C3" s="23" t="s">
        <v>70</v>
      </c>
      <c r="D3" s="23" t="s">
        <v>58</v>
      </c>
      <c r="E3" s="23" t="s">
        <v>71</v>
      </c>
      <c r="F3" s="23" t="s">
        <v>60</v>
      </c>
      <c r="G3" s="23" t="s">
        <v>72</v>
      </c>
      <c r="H3" s="23"/>
      <c r="I3" s="23" t="s">
        <v>73</v>
      </c>
      <c r="J3" s="23"/>
      <c r="K3" s="23" t="s">
        <v>74</v>
      </c>
      <c r="L3" s="23"/>
      <c r="M3" s="23"/>
      <c r="N3" s="23" t="s">
        <v>75</v>
      </c>
      <c r="O3" s="23" t="s">
        <v>76</v>
      </c>
      <c r="P3" s="23"/>
      <c r="Q3" s="23"/>
      <c r="R3" s="23" t="s">
        <v>65</v>
      </c>
      <c r="S3" s="24" t="s">
        <v>66</v>
      </c>
      <c r="T3" s="24" t="s">
        <v>66</v>
      </c>
      <c r="U3" s="23" t="s">
        <v>77</v>
      </c>
      <c r="V3" s="25">
        <v>2</v>
      </c>
    </row>
    <row r="4" spans="1:22" ht="45" customHeight="1" x14ac:dyDescent="0.35">
      <c r="A4" s="23" t="s">
        <v>78</v>
      </c>
      <c r="B4" s="23" t="s">
        <v>79</v>
      </c>
      <c r="C4" s="23" t="s">
        <v>57</v>
      </c>
      <c r="D4" s="23" t="s">
        <v>58</v>
      </c>
      <c r="E4" s="23" t="s">
        <v>80</v>
      </c>
      <c r="F4" s="23" t="s">
        <v>60</v>
      </c>
      <c r="G4" s="23" t="s">
        <v>81</v>
      </c>
      <c r="H4" s="23"/>
      <c r="I4" s="23"/>
      <c r="J4" s="23"/>
      <c r="K4" s="23" t="s">
        <v>82</v>
      </c>
      <c r="L4" s="23"/>
      <c r="M4" s="23"/>
      <c r="N4" s="23"/>
      <c r="O4" s="23" t="s">
        <v>83</v>
      </c>
      <c r="P4" s="23"/>
      <c r="Q4" s="23"/>
      <c r="R4" s="23" t="s">
        <v>65</v>
      </c>
      <c r="S4" s="24" t="s">
        <v>66</v>
      </c>
      <c r="T4" s="24" t="s">
        <v>66</v>
      </c>
      <c r="U4" s="23" t="s">
        <v>67</v>
      </c>
      <c r="V4" s="25">
        <v>2</v>
      </c>
    </row>
    <row r="5" spans="1:22" ht="45" customHeight="1" x14ac:dyDescent="0.35">
      <c r="A5" s="23" t="s">
        <v>84</v>
      </c>
      <c r="B5" s="23" t="s">
        <v>85</v>
      </c>
      <c r="C5" s="23" t="s">
        <v>70</v>
      </c>
      <c r="D5" s="23" t="s">
        <v>58</v>
      </c>
      <c r="E5" s="23" t="s">
        <v>86</v>
      </c>
      <c r="F5" s="23" t="s">
        <v>60</v>
      </c>
      <c r="G5" s="23" t="s">
        <v>61</v>
      </c>
      <c r="H5" s="23"/>
      <c r="I5" s="23" t="s">
        <v>87</v>
      </c>
      <c r="J5" s="23" t="s">
        <v>88</v>
      </c>
      <c r="K5" s="23" t="s">
        <v>63</v>
      </c>
      <c r="L5" s="23"/>
      <c r="M5" s="23"/>
      <c r="N5" s="23" t="s">
        <v>89</v>
      </c>
      <c r="O5" s="23" t="s">
        <v>90</v>
      </c>
      <c r="P5" s="23" t="s">
        <v>91</v>
      </c>
      <c r="Q5" s="23"/>
      <c r="R5" s="23" t="s">
        <v>65</v>
      </c>
      <c r="S5" s="24" t="s">
        <v>66</v>
      </c>
      <c r="T5" s="24" t="s">
        <v>66</v>
      </c>
      <c r="U5" s="23" t="s">
        <v>92</v>
      </c>
      <c r="V5" s="25">
        <v>2</v>
      </c>
    </row>
  </sheetData>
  <hyperlinks>
    <hyperlink ref="V2" r:id="rId1" display="C:\Users\Becket Nelson\OneDrive\Claude Code Stuff\ScriptBreakdown\Give-and-Take-Script.pdf" xr:uid="{00000000-0004-0000-0100-000000000000}"/>
    <hyperlink ref="V3" r:id="rId2" display="C:\Users\Becket Nelson\OneDrive\Claude Code Stuff\ScriptBreakdown\Give-and-Take-Script.pdf" xr:uid="{00000000-0004-0000-0100-000001000000}"/>
    <hyperlink ref="V4" r:id="rId3" display="C:\Users\Becket Nelson\OneDrive\Claude Code Stuff\ScriptBreakdown\Give-and-Take-Script.pdf" xr:uid="{00000000-0004-0000-0100-000002000000}"/>
    <hyperlink ref="V5" r:id="rId4" display="C:\Users\Becket Nelson\OneDrive\Claude Code Stuff\ScriptBreakdown\Give-and-Take-Script.pdf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106</v>
      </c>
      <c r="B2" s="27" t="s">
        <v>107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110</v>
      </c>
      <c r="B3" s="27" t="s">
        <v>111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112</v>
      </c>
      <c r="B4" s="27" t="s">
        <v>113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114</v>
      </c>
      <c r="B5" s="27" t="s">
        <v>115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116</v>
      </c>
      <c r="B2" s="27" t="s">
        <v>117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118</v>
      </c>
      <c r="B3" s="27" t="s">
        <v>119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120</v>
      </c>
      <c r="B4" s="27" t="s">
        <v>121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122</v>
      </c>
      <c r="B5" s="27" t="s">
        <v>123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124</v>
      </c>
      <c r="B2" s="27" t="s">
        <v>125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126</v>
      </c>
      <c r="B3" s="27" t="s">
        <v>127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128</v>
      </c>
      <c r="B4" s="27" t="s">
        <v>129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130</v>
      </c>
      <c r="B5" s="27" t="s">
        <v>131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132</v>
      </c>
      <c r="B2" s="27" t="s">
        <v>133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134</v>
      </c>
      <c r="B3" s="27" t="s">
        <v>135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136</v>
      </c>
      <c r="B4" s="27" t="s">
        <v>137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26" x14ac:dyDescent="0.35">
      <c r="A2" s="4" t="s">
        <v>138</v>
      </c>
      <c r="B2" s="23" t="s">
        <v>139</v>
      </c>
      <c r="C2" s="4">
        <v>4</v>
      </c>
      <c r="D2" s="4" t="s">
        <v>140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141</v>
      </c>
      <c r="M2" s="23" t="s">
        <v>142</v>
      </c>
      <c r="N2" s="33" t="s">
        <v>143</v>
      </c>
      <c r="O2" s="34" t="s">
        <v>144</v>
      </c>
    </row>
    <row r="3" spans="1:15" ht="39" x14ac:dyDescent="0.35">
      <c r="A3" s="4" t="s">
        <v>145</v>
      </c>
      <c r="B3" s="23" t="s">
        <v>146</v>
      </c>
      <c r="C3" s="4">
        <v>3</v>
      </c>
      <c r="D3" s="4" t="s">
        <v>140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147</v>
      </c>
      <c r="M3" s="23" t="s">
        <v>148</v>
      </c>
      <c r="N3" s="33" t="s">
        <v>143</v>
      </c>
      <c r="O3" s="34" t="s">
        <v>144</v>
      </c>
    </row>
    <row r="4" spans="1:15" x14ac:dyDescent="0.35">
      <c r="A4" s="26" t="s">
        <v>149</v>
      </c>
      <c r="B4" s="27" t="s">
        <v>150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151</v>
      </c>
      <c r="B5" s="27" t="s">
        <v>152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hyperlinks>
    <hyperlink ref="K2" r:id="rId1" display="C:\Users\Becket Nelson\OneDrive\Claude Code Stuff\ScriptBreakdown\Give-and-Take-Script.pdf" xr:uid="{00000000-0004-0000-0600-000000000000}"/>
    <hyperlink ref="K3" r:id="rId2" display="C:\Users\Becket Nelson\OneDrive\Claude Code Stuff\ScriptBreakdown\Give-and-Take-Script.pdf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153</v>
      </c>
      <c r="B2" s="27" t="s">
        <v>154</v>
      </c>
      <c r="C2" s="26" t="s">
        <v>66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155</v>
      </c>
    </row>
    <row r="3" spans="1:15" x14ac:dyDescent="0.35">
      <c r="A3" s="26" t="s">
        <v>156</v>
      </c>
      <c r="B3" s="27" t="s">
        <v>157</v>
      </c>
      <c r="C3" s="26" t="s">
        <v>66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155</v>
      </c>
    </row>
    <row r="4" spans="1:15" x14ac:dyDescent="0.35">
      <c r="A4" s="26" t="s">
        <v>158</v>
      </c>
      <c r="B4" s="27" t="s">
        <v>159</v>
      </c>
      <c r="C4" s="26" t="s">
        <v>66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155</v>
      </c>
    </row>
    <row r="5" spans="1:15" x14ac:dyDescent="0.35">
      <c r="A5" s="26" t="s">
        <v>160</v>
      </c>
      <c r="B5" s="27" t="s">
        <v>161</v>
      </c>
      <c r="C5" s="26" t="s">
        <v>66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35" t="s">
        <v>155</v>
      </c>
    </row>
    <row r="6" spans="1:15" x14ac:dyDescent="0.35">
      <c r="A6" s="26" t="s">
        <v>162</v>
      </c>
      <c r="B6" s="27" t="s">
        <v>163</v>
      </c>
      <c r="C6" s="26" t="s">
        <v>66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5" t="s">
        <v>155</v>
      </c>
    </row>
    <row r="7" spans="1:15" x14ac:dyDescent="0.35">
      <c r="A7" s="26" t="s">
        <v>164</v>
      </c>
      <c r="B7" s="27" t="s">
        <v>165</v>
      </c>
      <c r="C7" s="26" t="s">
        <v>66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35" t="s">
        <v>155</v>
      </c>
    </row>
    <row r="8" spans="1:15" x14ac:dyDescent="0.35">
      <c r="A8" s="26" t="s">
        <v>166</v>
      </c>
      <c r="B8" s="27" t="s">
        <v>167</v>
      </c>
      <c r="C8" s="26" t="s">
        <v>66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35" t="s">
        <v>155</v>
      </c>
    </row>
    <row r="9" spans="1:15" x14ac:dyDescent="0.35">
      <c r="A9" s="26" t="s">
        <v>168</v>
      </c>
      <c r="B9" s="27" t="s">
        <v>169</v>
      </c>
      <c r="C9" s="26" t="s">
        <v>108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170</v>
      </c>
      <c r="B2" s="23" t="s">
        <v>171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173</v>
      </c>
      <c r="M2" s="23" t="s">
        <v>174</v>
      </c>
      <c r="N2" s="33" t="s">
        <v>143</v>
      </c>
      <c r="O2" s="34" t="s">
        <v>144</v>
      </c>
    </row>
    <row r="3" spans="1:15" ht="39" x14ac:dyDescent="0.35">
      <c r="A3" s="4" t="s">
        <v>175</v>
      </c>
      <c r="B3" s="23" t="s">
        <v>176</v>
      </c>
      <c r="C3" s="4">
        <v>3</v>
      </c>
      <c r="D3" s="4" t="s">
        <v>177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178</v>
      </c>
      <c r="M3" s="23" t="s">
        <v>179</v>
      </c>
      <c r="N3" s="33" t="s">
        <v>143</v>
      </c>
      <c r="O3" s="34" t="s">
        <v>144</v>
      </c>
    </row>
    <row r="4" spans="1:15" ht="26" x14ac:dyDescent="0.35">
      <c r="A4" s="4" t="s">
        <v>180</v>
      </c>
      <c r="B4" s="23" t="s">
        <v>181</v>
      </c>
      <c r="C4" s="4">
        <v>1</v>
      </c>
      <c r="D4" s="4" t="s">
        <v>172</v>
      </c>
      <c r="E4" s="30"/>
      <c r="F4" s="5" t="e">
        <f>C4*D4*E4</f>
        <v>#VALUE!</v>
      </c>
      <c r="H4" s="5" t="e">
        <f>F4+(F4*G4)</f>
        <v>#VALUE!</v>
      </c>
      <c r="K4" s="31">
        <v>2</v>
      </c>
      <c r="L4" s="32" t="s">
        <v>182</v>
      </c>
      <c r="M4" s="23" t="s">
        <v>183</v>
      </c>
      <c r="N4" s="33" t="s">
        <v>143</v>
      </c>
      <c r="O4" s="34" t="s">
        <v>144</v>
      </c>
    </row>
    <row r="5" spans="1:15" x14ac:dyDescent="0.35">
      <c r="A5" s="26" t="s">
        <v>184</v>
      </c>
      <c r="B5" s="27" t="s">
        <v>185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186</v>
      </c>
      <c r="B6" s="27" t="s">
        <v>187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188</v>
      </c>
      <c r="B7" s="27" t="s">
        <v>189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  <row r="8" spans="1:15" x14ac:dyDescent="0.35">
      <c r="A8" s="26" t="s">
        <v>190</v>
      </c>
      <c r="B8" s="27" t="s">
        <v>191</v>
      </c>
      <c r="C8" s="26" t="s">
        <v>108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109</v>
      </c>
    </row>
    <row r="9" spans="1:15" x14ac:dyDescent="0.35">
      <c r="A9" s="26" t="s">
        <v>192</v>
      </c>
      <c r="B9" s="27" t="s">
        <v>193</v>
      </c>
      <c r="C9" s="26" t="s">
        <v>108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109</v>
      </c>
    </row>
  </sheetData>
  <hyperlinks>
    <hyperlink ref="K2" r:id="rId1" display="C:\Users\Becket Nelson\OneDrive\Claude Code Stuff\ScriptBreakdown\Give-and-Take-Script.pdf" xr:uid="{00000000-0004-0000-0800-000000000000}"/>
    <hyperlink ref="K3" r:id="rId2" display="C:\Users\Becket Nelson\OneDrive\Claude Code Stuff\ScriptBreakdown\Give-and-Take-Script.pdf" xr:uid="{00000000-0004-0000-0800-000001000000}"/>
    <hyperlink ref="K4" r:id="rId3" display="C:\Users\Becket Nelson\OneDrive\Claude Code Stuff\ScriptBreakdown\Give-and-Take-Script.pdf" xr:uid="{00000000-0004-0000-0800-000002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52" x14ac:dyDescent="0.35">
      <c r="A2" s="4" t="s">
        <v>194</v>
      </c>
      <c r="B2" s="23" t="s">
        <v>195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196</v>
      </c>
      <c r="M2" s="23" t="s">
        <v>197</v>
      </c>
      <c r="N2" s="33" t="s">
        <v>143</v>
      </c>
      <c r="O2" s="34" t="s">
        <v>144</v>
      </c>
    </row>
    <row r="3" spans="1:15" x14ac:dyDescent="0.35">
      <c r="A3" s="26" t="s">
        <v>198</v>
      </c>
      <c r="B3" s="27" t="s">
        <v>199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200</v>
      </c>
      <c r="B4" s="27" t="s">
        <v>201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202</v>
      </c>
      <c r="B5" s="27" t="s">
        <v>203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204</v>
      </c>
      <c r="B6" s="27" t="s">
        <v>205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</sheetData>
  <hyperlinks>
    <hyperlink ref="K2" r:id="rId1" display="C:\Users\Becket Nelson\OneDrive\Claude Code Stuff\ScriptBreakdown\Give-and-Take-Script.pdf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"/>
  <sheetViews>
    <sheetView topLeftCell="B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206</v>
      </c>
      <c r="B2" s="23" t="s">
        <v>207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208</v>
      </c>
      <c r="M2" s="23" t="s">
        <v>209</v>
      </c>
      <c r="N2" s="33" t="s">
        <v>143</v>
      </c>
      <c r="O2" s="34" t="s">
        <v>144</v>
      </c>
    </row>
    <row r="3" spans="1:15" x14ac:dyDescent="0.35">
      <c r="A3" s="26" t="s">
        <v>210</v>
      </c>
      <c r="B3" s="27" t="s">
        <v>211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212</v>
      </c>
      <c r="B4" s="27" t="s">
        <v>213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214</v>
      </c>
      <c r="B5" s="27" t="s">
        <v>215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216</v>
      </c>
      <c r="B6" s="27" t="s">
        <v>217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218</v>
      </c>
      <c r="B7" s="27" t="s">
        <v>219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</sheetData>
  <hyperlinks>
    <hyperlink ref="K2" r:id="rId1" display="C:\Users\Becket Nelson\OneDrive\Claude Code Stuff\ScriptBreakdown\Give-and-Take-Script.pdf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220</v>
      </c>
      <c r="B2" s="23" t="s">
        <v>221</v>
      </c>
      <c r="C2" s="4">
        <v>3</v>
      </c>
      <c r="D2" s="4" t="s">
        <v>177</v>
      </c>
      <c r="E2" s="30"/>
      <c r="F2" s="5" t="e">
        <f t="shared" ref="F2:F8" si="0">C2*D2*E2</f>
        <v>#VALUE!</v>
      </c>
      <c r="H2" s="5" t="e">
        <f t="shared" ref="H2:H8" si="1">F2+(F2*G2)</f>
        <v>#VALUE!</v>
      </c>
      <c r="K2" s="31">
        <v>3</v>
      </c>
      <c r="L2" s="32" t="s">
        <v>222</v>
      </c>
      <c r="M2" s="23" t="s">
        <v>223</v>
      </c>
      <c r="N2" s="33" t="s">
        <v>143</v>
      </c>
      <c r="O2" s="34" t="s">
        <v>144</v>
      </c>
    </row>
    <row r="3" spans="1:15" ht="52" x14ac:dyDescent="0.35">
      <c r="A3" s="4" t="s">
        <v>224</v>
      </c>
      <c r="B3" s="23" t="s">
        <v>225</v>
      </c>
      <c r="C3" s="4">
        <v>1</v>
      </c>
      <c r="D3" s="4" t="s">
        <v>140</v>
      </c>
      <c r="E3" s="30"/>
      <c r="F3" s="5" t="e">
        <f t="shared" si="0"/>
        <v>#VALUE!</v>
      </c>
      <c r="H3" s="5" t="e">
        <f t="shared" si="1"/>
        <v>#VALUE!</v>
      </c>
      <c r="K3" s="31">
        <v>3</v>
      </c>
      <c r="L3" s="32" t="s">
        <v>226</v>
      </c>
      <c r="M3" s="23" t="s">
        <v>227</v>
      </c>
      <c r="N3" s="33" t="s">
        <v>143</v>
      </c>
      <c r="O3" s="34" t="s">
        <v>144</v>
      </c>
    </row>
    <row r="4" spans="1:15" ht="39" x14ac:dyDescent="0.35">
      <c r="A4" s="4" t="s">
        <v>228</v>
      </c>
      <c r="B4" s="23" t="s">
        <v>229</v>
      </c>
      <c r="C4" s="4">
        <v>2</v>
      </c>
      <c r="D4" s="4" t="s">
        <v>177</v>
      </c>
      <c r="E4" s="30"/>
      <c r="F4" s="5" t="e">
        <f t="shared" si="0"/>
        <v>#VALUE!</v>
      </c>
      <c r="H4" s="5" t="e">
        <f t="shared" si="1"/>
        <v>#VALUE!</v>
      </c>
      <c r="K4" s="31">
        <v>4</v>
      </c>
      <c r="L4" s="32" t="s">
        <v>230</v>
      </c>
      <c r="M4" s="23" t="s">
        <v>231</v>
      </c>
      <c r="N4" s="33" t="s">
        <v>143</v>
      </c>
      <c r="O4" s="34" t="s">
        <v>144</v>
      </c>
    </row>
    <row r="5" spans="1:15" ht="39" x14ac:dyDescent="0.35">
      <c r="A5" s="4" t="s">
        <v>232</v>
      </c>
      <c r="B5" s="23" t="s">
        <v>233</v>
      </c>
      <c r="C5" s="4">
        <v>1</v>
      </c>
      <c r="D5" s="4" t="s">
        <v>177</v>
      </c>
      <c r="E5" s="30"/>
      <c r="F5" s="5" t="e">
        <f t="shared" si="0"/>
        <v>#VALUE!</v>
      </c>
      <c r="H5" s="5" t="e">
        <f t="shared" si="1"/>
        <v>#VALUE!</v>
      </c>
      <c r="K5" s="31">
        <v>2</v>
      </c>
      <c r="L5" s="32" t="s">
        <v>234</v>
      </c>
      <c r="M5" s="23" t="s">
        <v>235</v>
      </c>
      <c r="N5" s="33" t="s">
        <v>143</v>
      </c>
      <c r="O5" s="34" t="s">
        <v>144</v>
      </c>
    </row>
    <row r="6" spans="1:15" ht="26" x14ac:dyDescent="0.35">
      <c r="A6" s="4" t="s">
        <v>236</v>
      </c>
      <c r="B6" s="23" t="s">
        <v>237</v>
      </c>
      <c r="C6" s="4">
        <v>2</v>
      </c>
      <c r="D6" s="4" t="s">
        <v>177</v>
      </c>
      <c r="E6" s="30"/>
      <c r="F6" s="5" t="e">
        <f t="shared" si="0"/>
        <v>#VALUE!</v>
      </c>
      <c r="H6" s="5" t="e">
        <f t="shared" si="1"/>
        <v>#VALUE!</v>
      </c>
      <c r="K6" s="31">
        <v>4</v>
      </c>
      <c r="L6" s="32" t="s">
        <v>238</v>
      </c>
      <c r="M6" s="23" t="s">
        <v>239</v>
      </c>
      <c r="N6" s="33" t="s">
        <v>143</v>
      </c>
      <c r="O6" s="34" t="s">
        <v>144</v>
      </c>
    </row>
    <row r="7" spans="1:15" ht="52" x14ac:dyDescent="0.35">
      <c r="A7" s="4" t="s">
        <v>240</v>
      </c>
      <c r="B7" s="23" t="s">
        <v>241</v>
      </c>
      <c r="C7" s="4">
        <v>1</v>
      </c>
      <c r="D7" s="4" t="s">
        <v>172</v>
      </c>
      <c r="E7" s="30"/>
      <c r="F7" s="5" t="e">
        <f t="shared" si="0"/>
        <v>#VALUE!</v>
      </c>
      <c r="H7" s="5" t="e">
        <f t="shared" si="1"/>
        <v>#VALUE!</v>
      </c>
      <c r="K7" s="31">
        <v>2</v>
      </c>
      <c r="L7" s="32" t="s">
        <v>242</v>
      </c>
      <c r="M7" s="23" t="s">
        <v>243</v>
      </c>
      <c r="N7" s="33" t="s">
        <v>143</v>
      </c>
      <c r="O7" s="34" t="s">
        <v>144</v>
      </c>
    </row>
    <row r="8" spans="1:15" ht="26" x14ac:dyDescent="0.35">
      <c r="A8" s="4" t="s">
        <v>244</v>
      </c>
      <c r="B8" s="23" t="s">
        <v>245</v>
      </c>
      <c r="C8" s="4">
        <v>2</v>
      </c>
      <c r="D8" s="4" t="s">
        <v>177</v>
      </c>
      <c r="E8" s="30"/>
      <c r="F8" s="5" t="e">
        <f t="shared" si="0"/>
        <v>#VALUE!</v>
      </c>
      <c r="H8" s="5" t="e">
        <f t="shared" si="1"/>
        <v>#VALUE!</v>
      </c>
      <c r="K8" s="31">
        <v>2</v>
      </c>
      <c r="L8" s="32" t="s">
        <v>246</v>
      </c>
      <c r="M8" s="23" t="s">
        <v>247</v>
      </c>
      <c r="N8" s="33" t="s">
        <v>143</v>
      </c>
      <c r="O8" s="34" t="s">
        <v>144</v>
      </c>
    </row>
    <row r="9" spans="1:15" x14ac:dyDescent="0.35">
      <c r="A9" s="26" t="s">
        <v>248</v>
      </c>
      <c r="B9" s="27" t="s">
        <v>249</v>
      </c>
      <c r="C9" s="26" t="s">
        <v>108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109</v>
      </c>
    </row>
    <row r="10" spans="1:15" x14ac:dyDescent="0.35">
      <c r="A10" s="26" t="s">
        <v>250</v>
      </c>
      <c r="B10" s="27" t="s">
        <v>251</v>
      </c>
      <c r="C10" s="26" t="s">
        <v>108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 t="s">
        <v>109</v>
      </c>
    </row>
    <row r="11" spans="1:15" x14ac:dyDescent="0.35">
      <c r="A11" s="26" t="s">
        <v>252</v>
      </c>
      <c r="B11" s="27" t="s">
        <v>253</v>
      </c>
      <c r="C11" s="26" t="s">
        <v>108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 t="s">
        <v>109</v>
      </c>
    </row>
    <row r="12" spans="1:15" x14ac:dyDescent="0.35">
      <c r="A12" s="26" t="s">
        <v>254</v>
      </c>
      <c r="B12" s="27" t="s">
        <v>255</v>
      </c>
      <c r="C12" s="26" t="s">
        <v>108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 t="s">
        <v>109</v>
      </c>
    </row>
  </sheetData>
  <hyperlinks>
    <hyperlink ref="K2" r:id="rId1" display="C:\Users\Becket Nelson\OneDrive\Claude Code Stuff\ScriptBreakdown\Give-and-Take-Script.pdf" xr:uid="{00000000-0004-0000-0B00-000000000000}"/>
    <hyperlink ref="K3" r:id="rId2" display="C:\Users\Becket Nelson\OneDrive\Claude Code Stuff\ScriptBreakdown\Give-and-Take-Script.pdf" xr:uid="{00000000-0004-0000-0B00-000001000000}"/>
    <hyperlink ref="K4" r:id="rId3" display="C:\Users\Becket Nelson\OneDrive\Claude Code Stuff\ScriptBreakdown\Give-and-Take-Script.pdf" xr:uid="{00000000-0004-0000-0B00-000002000000}"/>
    <hyperlink ref="K5" r:id="rId4" display="C:\Users\Becket Nelson\OneDrive\Claude Code Stuff\ScriptBreakdown\Give-and-Take-Script.pdf" xr:uid="{00000000-0004-0000-0B00-000003000000}"/>
    <hyperlink ref="K6" r:id="rId5" display="C:\Users\Becket Nelson\OneDrive\Claude Code Stuff\ScriptBreakdown\Give-and-Take-Script.pdf" xr:uid="{00000000-0004-0000-0B00-000004000000}"/>
    <hyperlink ref="K7" r:id="rId6" display="C:\Users\Becket Nelson\OneDrive\Claude Code Stuff\ScriptBreakdown\Give-and-Take-Script.pdf" xr:uid="{00000000-0004-0000-0B00-000005000000}"/>
    <hyperlink ref="K8" r:id="rId7" display="C:\Users\Becket Nelson\OneDrive\Claude Code Stuff\ScriptBreakdown\Give-and-Take-Script.pdf" xr:uid="{00000000-0004-0000-0B00-00000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26" x14ac:dyDescent="0.35">
      <c r="A2" s="4" t="s">
        <v>256</v>
      </c>
      <c r="B2" s="23" t="s">
        <v>257</v>
      </c>
      <c r="C2" s="4">
        <v>1</v>
      </c>
      <c r="D2" s="4" t="s">
        <v>258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259</v>
      </c>
      <c r="M2" s="23" t="s">
        <v>260</v>
      </c>
      <c r="N2" s="33" t="s">
        <v>143</v>
      </c>
      <c r="O2" s="34" t="s">
        <v>144</v>
      </c>
    </row>
    <row r="3" spans="1:15" ht="39" x14ac:dyDescent="0.35">
      <c r="A3" s="4" t="s">
        <v>261</v>
      </c>
      <c r="B3" s="23" t="s">
        <v>262</v>
      </c>
      <c r="C3" s="4">
        <v>1</v>
      </c>
      <c r="D3" s="4" t="s">
        <v>258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263</v>
      </c>
      <c r="M3" s="23" t="s">
        <v>264</v>
      </c>
      <c r="N3" s="36" t="s">
        <v>265</v>
      </c>
      <c r="O3" s="34" t="s">
        <v>144</v>
      </c>
    </row>
    <row r="4" spans="1:15" x14ac:dyDescent="0.35">
      <c r="A4" s="26" t="s">
        <v>266</v>
      </c>
      <c r="B4" s="27" t="s">
        <v>267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268</v>
      </c>
      <c r="B5" s="27" t="s">
        <v>269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270</v>
      </c>
      <c r="B6" s="27" t="s">
        <v>271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272</v>
      </c>
      <c r="B7" s="27" t="s">
        <v>273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  <row r="8" spans="1:15" x14ac:dyDescent="0.35">
      <c r="A8" s="26" t="s">
        <v>274</v>
      </c>
      <c r="B8" s="27" t="s">
        <v>275</v>
      </c>
      <c r="C8" s="26" t="s">
        <v>108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109</v>
      </c>
    </row>
  </sheetData>
  <hyperlinks>
    <hyperlink ref="K2" r:id="rId1" display="C:\Users\Becket Nelson\OneDrive\Claude Code Stuff\ScriptBreakdown\Give-and-Take-Script.pdf" xr:uid="{00000000-0004-0000-0C00-000000000000}"/>
    <hyperlink ref="K3" r:id="rId2" display="C:\Users\Becket Nelson\OneDrive\Claude Code Stuff\ScriptBreakdown\Give-and-Take-Script.pdf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276</v>
      </c>
      <c r="B2" s="23" t="s">
        <v>277</v>
      </c>
      <c r="C2" s="4">
        <v>1</v>
      </c>
      <c r="D2" s="4" t="s">
        <v>258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56</v>
      </c>
      <c r="M2" s="23" t="s">
        <v>278</v>
      </c>
      <c r="N2" s="33" t="s">
        <v>143</v>
      </c>
      <c r="O2" s="34" t="s">
        <v>144</v>
      </c>
    </row>
    <row r="3" spans="1:15" ht="39" x14ac:dyDescent="0.35">
      <c r="A3" s="4" t="s">
        <v>279</v>
      </c>
      <c r="B3" s="23" t="s">
        <v>280</v>
      </c>
      <c r="C3" s="4">
        <v>1</v>
      </c>
      <c r="D3" s="4" t="s">
        <v>258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281</v>
      </c>
      <c r="M3" s="23" t="s">
        <v>282</v>
      </c>
      <c r="N3" s="33" t="s">
        <v>143</v>
      </c>
      <c r="O3" s="34" t="s">
        <v>144</v>
      </c>
    </row>
    <row r="4" spans="1:15" ht="39" x14ac:dyDescent="0.35">
      <c r="A4" s="4" t="s">
        <v>283</v>
      </c>
      <c r="B4" s="23" t="s">
        <v>284</v>
      </c>
      <c r="C4" s="4">
        <v>1</v>
      </c>
      <c r="D4" s="4" t="s">
        <v>258</v>
      </c>
      <c r="E4" s="30"/>
      <c r="F4" s="5" t="e">
        <f>C4*D4*E4</f>
        <v>#VALUE!</v>
      </c>
      <c r="H4" s="5" t="e">
        <f>F4+(F4*G4)</f>
        <v>#VALUE!</v>
      </c>
      <c r="K4" s="31">
        <v>2</v>
      </c>
      <c r="L4" s="32" t="s">
        <v>242</v>
      </c>
      <c r="M4" s="23" t="s">
        <v>285</v>
      </c>
      <c r="N4" s="33" t="s">
        <v>143</v>
      </c>
      <c r="O4" s="34" t="s">
        <v>144</v>
      </c>
    </row>
    <row r="5" spans="1:15" x14ac:dyDescent="0.35">
      <c r="A5" s="26" t="s">
        <v>286</v>
      </c>
      <c r="B5" s="27" t="s">
        <v>287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288</v>
      </c>
      <c r="B6" s="27" t="s">
        <v>289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290</v>
      </c>
      <c r="B7" s="27" t="s">
        <v>291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  <row r="8" spans="1:15" x14ac:dyDescent="0.35">
      <c r="A8" s="26" t="s">
        <v>292</v>
      </c>
      <c r="B8" s="27" t="s">
        <v>293</v>
      </c>
      <c r="C8" s="26" t="s">
        <v>108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109</v>
      </c>
    </row>
    <row r="9" spans="1:15" x14ac:dyDescent="0.35">
      <c r="A9" s="26" t="s">
        <v>294</v>
      </c>
      <c r="B9" s="27" t="s">
        <v>295</v>
      </c>
      <c r="C9" s="26" t="s">
        <v>108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109</v>
      </c>
    </row>
  </sheetData>
  <hyperlinks>
    <hyperlink ref="K2" r:id="rId1" display="C:\Users\Becket Nelson\OneDrive\Claude Code Stuff\ScriptBreakdown\Give-and-Take-Script.pdf" xr:uid="{00000000-0004-0000-0D00-000000000000}"/>
    <hyperlink ref="K3" r:id="rId2" display="C:\Users\Becket Nelson\OneDrive\Claude Code Stuff\ScriptBreakdown\Give-and-Take-Script.pdf" xr:uid="{00000000-0004-0000-0D00-000001000000}"/>
    <hyperlink ref="K4" r:id="rId3" display="C:\Users\Becket Nelson\OneDrive\Claude Code Stuff\ScriptBreakdown\Give-and-Take-Script.pdf" xr:uid="{00000000-0004-0000-0D00-000002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296</v>
      </c>
      <c r="B2" s="27" t="s">
        <v>297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298</v>
      </c>
      <c r="B3" s="27" t="s">
        <v>299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300</v>
      </c>
      <c r="B4" s="27" t="s">
        <v>301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302</v>
      </c>
      <c r="B5" s="27" t="s">
        <v>303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304</v>
      </c>
      <c r="B2" s="27" t="s">
        <v>305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306</v>
      </c>
      <c r="B3" s="27" t="s">
        <v>307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308</v>
      </c>
      <c r="B4" s="27" t="s">
        <v>309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310</v>
      </c>
      <c r="B5" s="27" t="s">
        <v>311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312</v>
      </c>
      <c r="B2" s="23" t="s">
        <v>313</v>
      </c>
      <c r="C2" s="4">
        <v>1</v>
      </c>
      <c r="D2" s="4" t="s">
        <v>140</v>
      </c>
      <c r="E2" s="30"/>
      <c r="F2" s="5" t="e">
        <f>C2*D2*E2</f>
        <v>#VALUE!</v>
      </c>
      <c r="H2" s="5" t="e">
        <f>F2+(F2*G2)</f>
        <v>#VALUE!</v>
      </c>
      <c r="K2" s="31">
        <v>4</v>
      </c>
      <c r="L2" s="32" t="s">
        <v>314</v>
      </c>
      <c r="M2" s="23" t="s">
        <v>315</v>
      </c>
      <c r="N2" s="33" t="s">
        <v>143</v>
      </c>
      <c r="O2" s="34" t="s">
        <v>144</v>
      </c>
    </row>
    <row r="3" spans="1:15" ht="52" x14ac:dyDescent="0.35">
      <c r="A3" s="4" t="s">
        <v>316</v>
      </c>
      <c r="B3" s="23" t="s">
        <v>317</v>
      </c>
      <c r="C3" s="4">
        <v>1</v>
      </c>
      <c r="D3" s="4" t="s">
        <v>140</v>
      </c>
      <c r="E3" s="30"/>
      <c r="F3" s="5" t="e">
        <f>C3*D3*E3</f>
        <v>#VALUE!</v>
      </c>
      <c r="H3" s="5" t="e">
        <f>F3+(F3*G3)</f>
        <v>#VALUE!</v>
      </c>
      <c r="K3" s="31">
        <v>3</v>
      </c>
      <c r="L3" s="32" t="s">
        <v>222</v>
      </c>
      <c r="M3" s="23" t="s">
        <v>318</v>
      </c>
      <c r="N3" s="33" t="s">
        <v>143</v>
      </c>
      <c r="O3" s="34" t="s">
        <v>144</v>
      </c>
    </row>
    <row r="4" spans="1:15" x14ac:dyDescent="0.35">
      <c r="A4" s="26" t="s">
        <v>319</v>
      </c>
      <c r="B4" s="27" t="s">
        <v>320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321</v>
      </c>
      <c r="B5" s="27" t="s">
        <v>322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323</v>
      </c>
      <c r="B6" s="27" t="s">
        <v>324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</sheetData>
  <hyperlinks>
    <hyperlink ref="K2" r:id="rId1" display="C:\Users\Becket Nelson\OneDrive\Claude Code Stuff\ScriptBreakdown\Give-and-Take-Script.pdf" xr:uid="{00000000-0004-0000-1000-000000000000}"/>
    <hyperlink ref="K3" r:id="rId2" display="C:\Users\Becket Nelson\OneDrive\Claude Code Stuff\ScriptBreakdown\Give-and-Take-Script.pdf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325</v>
      </c>
      <c r="B2" s="27" t="s">
        <v>326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327</v>
      </c>
      <c r="B3" s="27" t="s">
        <v>328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329</v>
      </c>
      <c r="B4" s="27" t="s">
        <v>330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331</v>
      </c>
      <c r="B2" s="27" t="s">
        <v>332</v>
      </c>
      <c r="C2" s="26" t="s">
        <v>66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155</v>
      </c>
    </row>
    <row r="3" spans="1:15" x14ac:dyDescent="0.35">
      <c r="A3" s="26" t="s">
        <v>333</v>
      </c>
      <c r="B3" s="27" t="s">
        <v>334</v>
      </c>
      <c r="C3" s="26" t="s">
        <v>66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155</v>
      </c>
    </row>
    <row r="4" spans="1:15" x14ac:dyDescent="0.35">
      <c r="A4" s="26" t="s">
        <v>335</v>
      </c>
      <c r="B4" s="27" t="s">
        <v>336</v>
      </c>
      <c r="C4" s="26" t="s">
        <v>66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155</v>
      </c>
    </row>
    <row r="5" spans="1:15" x14ac:dyDescent="0.35">
      <c r="A5" s="26" t="s">
        <v>337</v>
      </c>
      <c r="B5" s="27" t="s">
        <v>338</v>
      </c>
      <c r="C5" s="26" t="s">
        <v>66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35" t="s">
        <v>155</v>
      </c>
    </row>
    <row r="6" spans="1:15" x14ac:dyDescent="0.35">
      <c r="A6" s="26" t="s">
        <v>339</v>
      </c>
      <c r="B6" s="27" t="s">
        <v>340</v>
      </c>
      <c r="C6" s="26" t="s">
        <v>66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5" t="s">
        <v>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52" x14ac:dyDescent="0.35">
      <c r="A2" s="4" t="s">
        <v>341</v>
      </c>
      <c r="B2" s="23" t="s">
        <v>342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343</v>
      </c>
      <c r="M2" s="23" t="s">
        <v>344</v>
      </c>
      <c r="N2" s="33" t="s">
        <v>143</v>
      </c>
      <c r="O2" s="34" t="s">
        <v>144</v>
      </c>
    </row>
    <row r="3" spans="1:15" ht="39" x14ac:dyDescent="0.35">
      <c r="A3" s="4" t="s">
        <v>345</v>
      </c>
      <c r="B3" s="23" t="s">
        <v>346</v>
      </c>
      <c r="C3" s="4">
        <v>1</v>
      </c>
      <c r="D3" s="4" t="s">
        <v>172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246</v>
      </c>
      <c r="M3" s="23" t="s">
        <v>347</v>
      </c>
      <c r="N3" s="33" t="s">
        <v>143</v>
      </c>
      <c r="O3" s="34" t="s">
        <v>144</v>
      </c>
    </row>
    <row r="4" spans="1:15" x14ac:dyDescent="0.35">
      <c r="A4" s="26" t="s">
        <v>348</v>
      </c>
      <c r="B4" s="27" t="s">
        <v>349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350</v>
      </c>
      <c r="B5" s="27" t="s">
        <v>351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352</v>
      </c>
      <c r="B6" s="27" t="s">
        <v>353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354</v>
      </c>
      <c r="B7" s="27" t="s">
        <v>355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  <row r="8" spans="1:15" x14ac:dyDescent="0.35">
      <c r="A8" s="26" t="s">
        <v>356</v>
      </c>
      <c r="B8" s="27" t="s">
        <v>357</v>
      </c>
      <c r="C8" s="26" t="s">
        <v>108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109</v>
      </c>
    </row>
    <row r="9" spans="1:15" x14ac:dyDescent="0.35">
      <c r="A9" s="26" t="s">
        <v>358</v>
      </c>
      <c r="B9" s="27" t="s">
        <v>359</v>
      </c>
      <c r="C9" s="26" t="s">
        <v>108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 t="s">
        <v>109</v>
      </c>
    </row>
  </sheetData>
  <hyperlinks>
    <hyperlink ref="K2" r:id="rId1" display="C:\Users\Becket Nelson\OneDrive\Claude Code Stuff\ScriptBreakdown\Give-and-Take-Script.pdf" xr:uid="{00000000-0004-0000-1300-000000000000}"/>
    <hyperlink ref="K3" r:id="rId2" display="C:\Users\Becket Nelson\OneDrive\Claude Code Stuff\ScriptBreakdown\Give-and-Take-Script.pdf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39" x14ac:dyDescent="0.35">
      <c r="A2" s="4" t="s">
        <v>360</v>
      </c>
      <c r="B2" s="23" t="s">
        <v>361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362</v>
      </c>
      <c r="M2" s="23" t="s">
        <v>363</v>
      </c>
      <c r="N2" s="33" t="s">
        <v>143</v>
      </c>
      <c r="O2" s="34" t="s">
        <v>144</v>
      </c>
    </row>
    <row r="3" spans="1:15" x14ac:dyDescent="0.35">
      <c r="A3" s="26" t="s">
        <v>364</v>
      </c>
      <c r="B3" s="27" t="s">
        <v>365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366</v>
      </c>
      <c r="B4" s="27" t="s">
        <v>367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368</v>
      </c>
      <c r="B5" s="27" t="s">
        <v>369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370</v>
      </c>
      <c r="B6" s="27" t="s">
        <v>371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</sheetData>
  <hyperlinks>
    <hyperlink ref="K2" r:id="rId1" display="C:\Users\Becket Nelson\OneDrive\Claude Code Stuff\ScriptBreakdown\Give-and-Take-Script.pdf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ht="52" x14ac:dyDescent="0.35">
      <c r="A2" s="4" t="s">
        <v>372</v>
      </c>
      <c r="B2" s="23" t="s">
        <v>373</v>
      </c>
      <c r="C2" s="4">
        <v>1</v>
      </c>
      <c r="D2" s="4" t="s">
        <v>172</v>
      </c>
      <c r="E2" s="30"/>
      <c r="F2" s="5" t="e">
        <f>C2*D2*E2</f>
        <v>#VALUE!</v>
      </c>
      <c r="H2" s="5" t="e">
        <f>F2+(F2*G2)</f>
        <v>#VALUE!</v>
      </c>
      <c r="K2" s="31">
        <v>2</v>
      </c>
      <c r="L2" s="32" t="s">
        <v>374</v>
      </c>
      <c r="M2" s="23" t="s">
        <v>375</v>
      </c>
      <c r="N2" s="33" t="s">
        <v>143</v>
      </c>
      <c r="O2" s="34" t="s">
        <v>144</v>
      </c>
    </row>
    <row r="3" spans="1:15" ht="39" x14ac:dyDescent="0.35">
      <c r="A3" s="4" t="s">
        <v>376</v>
      </c>
      <c r="B3" s="23" t="s">
        <v>377</v>
      </c>
      <c r="C3" s="4">
        <v>1</v>
      </c>
      <c r="D3" s="4" t="s">
        <v>258</v>
      </c>
      <c r="E3" s="30"/>
      <c r="F3" s="5" t="e">
        <f>C3*D3*E3</f>
        <v>#VALUE!</v>
      </c>
      <c r="H3" s="5" t="e">
        <f>F3+(F3*G3)</f>
        <v>#VALUE!</v>
      </c>
      <c r="K3" s="31">
        <v>2</v>
      </c>
      <c r="L3" s="32" t="s">
        <v>378</v>
      </c>
      <c r="M3" s="23" t="s">
        <v>379</v>
      </c>
      <c r="N3" s="33" t="s">
        <v>143</v>
      </c>
      <c r="O3" s="34" t="s">
        <v>144</v>
      </c>
    </row>
    <row r="4" spans="1:15" x14ac:dyDescent="0.35">
      <c r="A4" s="26" t="s">
        <v>380</v>
      </c>
      <c r="B4" s="27" t="s">
        <v>165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381</v>
      </c>
      <c r="B5" s="27" t="s">
        <v>382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383</v>
      </c>
      <c r="B6" s="27" t="s">
        <v>384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  <row r="7" spans="1:15" x14ac:dyDescent="0.35">
      <c r="A7" s="26" t="s">
        <v>385</v>
      </c>
      <c r="B7" s="27" t="s">
        <v>386</v>
      </c>
      <c r="C7" s="26" t="s">
        <v>108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 t="s">
        <v>109</v>
      </c>
    </row>
    <row r="8" spans="1:15" x14ac:dyDescent="0.35">
      <c r="A8" s="26" t="s">
        <v>387</v>
      </c>
      <c r="B8" s="27" t="s">
        <v>388</v>
      </c>
      <c r="C8" s="26" t="s">
        <v>108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 t="s">
        <v>109</v>
      </c>
    </row>
  </sheetData>
  <hyperlinks>
    <hyperlink ref="K2" r:id="rId1" display="C:\Users\Becket Nelson\OneDrive\Claude Code Stuff\ScriptBreakdown\Give-and-Take-Script.pdf" xr:uid="{00000000-0004-0000-1500-000000000000}"/>
    <hyperlink ref="K3" r:id="rId2" display="C:\Users\Becket Nelson\OneDrive\Claude Code Stuff\ScriptBreakdown\Give-and-Take-Script.pdf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389</v>
      </c>
      <c r="B2" s="27" t="s">
        <v>390</v>
      </c>
      <c r="C2" s="26" t="s">
        <v>66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5" t="s">
        <v>155</v>
      </c>
    </row>
    <row r="3" spans="1:15" x14ac:dyDescent="0.35">
      <c r="A3" s="26" t="s">
        <v>391</v>
      </c>
      <c r="B3" s="27" t="s">
        <v>392</v>
      </c>
      <c r="C3" s="26" t="s">
        <v>66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155</v>
      </c>
    </row>
    <row r="4" spans="1:15" x14ac:dyDescent="0.35">
      <c r="A4" s="26" t="s">
        <v>393</v>
      </c>
      <c r="B4" s="27" t="s">
        <v>394</v>
      </c>
      <c r="C4" s="26" t="s">
        <v>66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5" t="s">
        <v>155</v>
      </c>
    </row>
    <row r="5" spans="1:15" x14ac:dyDescent="0.35">
      <c r="A5" s="26" t="s">
        <v>395</v>
      </c>
      <c r="B5" s="27" t="s">
        <v>396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  <row r="6" spans="1:15" x14ac:dyDescent="0.35">
      <c r="A6" s="26" t="s">
        <v>397</v>
      </c>
      <c r="B6" s="27" t="s">
        <v>398</v>
      </c>
      <c r="C6" s="26" t="s">
        <v>108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399</v>
      </c>
      <c r="B2" s="27" t="s">
        <v>400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401</v>
      </c>
      <c r="B3" s="27" t="s">
        <v>402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403</v>
      </c>
      <c r="B4" s="27" t="s">
        <v>404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405</v>
      </c>
      <c r="B5" s="27" t="s">
        <v>406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407</v>
      </c>
      <c r="B2" s="27" t="s">
        <v>408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409</v>
      </c>
      <c r="B3" s="27" t="s">
        <v>410</v>
      </c>
      <c r="C3" s="26" t="s">
        <v>66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155</v>
      </c>
    </row>
    <row r="4" spans="1:15" x14ac:dyDescent="0.35">
      <c r="A4" s="26" t="s">
        <v>411</v>
      </c>
      <c r="B4" s="27" t="s">
        <v>412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413</v>
      </c>
      <c r="B2" s="27" t="s">
        <v>414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415</v>
      </c>
      <c r="B3" s="27" t="s">
        <v>416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417</v>
      </c>
      <c r="B4" s="27" t="s">
        <v>418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419</v>
      </c>
      <c r="B5" s="27" t="s">
        <v>420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421</v>
      </c>
      <c r="B2" s="27" t="s">
        <v>422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423</v>
      </c>
      <c r="B3" s="27" t="s">
        <v>424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425</v>
      </c>
      <c r="B4" s="27" t="s">
        <v>426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427</v>
      </c>
      <c r="B2" s="27" t="s">
        <v>428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429</v>
      </c>
      <c r="B3" s="27" t="s">
        <v>430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431</v>
      </c>
      <c r="B4" s="27" t="s">
        <v>432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433</v>
      </c>
      <c r="B5" s="27" t="s">
        <v>434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435</v>
      </c>
      <c r="B2" s="27" t="s">
        <v>436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437</v>
      </c>
      <c r="B3" s="27" t="s">
        <v>438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439</v>
      </c>
      <c r="B4" s="27" t="s">
        <v>440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441</v>
      </c>
      <c r="B5" s="27" t="s">
        <v>442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443</v>
      </c>
      <c r="B2" s="27" t="s">
        <v>444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445</v>
      </c>
      <c r="B3" s="27" t="s">
        <v>446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447</v>
      </c>
      <c r="B4" s="27" t="s">
        <v>448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449</v>
      </c>
      <c r="B2" s="27" t="s">
        <v>450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451</v>
      </c>
      <c r="B3" s="27" t="s">
        <v>452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453</v>
      </c>
      <c r="B2" s="27" t="s">
        <v>454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455</v>
      </c>
      <c r="B3" s="27" t="s">
        <v>456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457</v>
      </c>
      <c r="B2" s="27" t="s">
        <v>458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459</v>
      </c>
      <c r="B3" s="27" t="s">
        <v>460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461</v>
      </c>
      <c r="B4" s="27" t="s">
        <v>462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  <row r="5" spans="1:15" x14ac:dyDescent="0.35">
      <c r="A5" s="26" t="s">
        <v>463</v>
      </c>
      <c r="B5" s="27" t="s">
        <v>464</v>
      </c>
      <c r="C5" s="26" t="s">
        <v>108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465</v>
      </c>
      <c r="B2" s="27" t="s">
        <v>466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467</v>
      </c>
      <c r="B3" s="27" t="s">
        <v>468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469</v>
      </c>
      <c r="B4" s="27" t="s">
        <v>470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471</v>
      </c>
      <c r="B2" s="27" t="s">
        <v>472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473</v>
      </c>
      <c r="B3" s="27" t="s">
        <v>474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475</v>
      </c>
      <c r="B4" s="27" t="s">
        <v>476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10" customWidth="1"/>
    <col min="4" max="4" width="14" customWidth="1"/>
    <col min="5" max="6" width="12" customWidth="1"/>
    <col min="7" max="7" width="10" customWidth="1"/>
    <col min="8" max="8" width="12" customWidth="1"/>
    <col min="9" max="9" width="20" customWidth="1"/>
    <col min="10" max="10" width="28" customWidth="1"/>
    <col min="11" max="11" width="11" customWidth="1"/>
    <col min="12" max="13" width="35" customWidth="1"/>
    <col min="14" max="14" width="12" customWidth="1"/>
    <col min="15" max="15" width="14" customWidth="1"/>
  </cols>
  <sheetData>
    <row r="1" spans="1:15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100</v>
      </c>
      <c r="J1" s="1" t="s">
        <v>101</v>
      </c>
      <c r="K1" s="1" t="s">
        <v>54</v>
      </c>
      <c r="L1" s="1" t="s">
        <v>102</v>
      </c>
      <c r="M1" s="1" t="s">
        <v>103</v>
      </c>
      <c r="N1" s="1" t="s">
        <v>104</v>
      </c>
      <c r="O1" s="1" t="s">
        <v>105</v>
      </c>
    </row>
    <row r="2" spans="1:15" x14ac:dyDescent="0.35">
      <c r="A2" s="26" t="s">
        <v>477</v>
      </c>
      <c r="B2" s="27" t="s">
        <v>478</v>
      </c>
      <c r="C2" s="26" t="s">
        <v>108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 t="s">
        <v>109</v>
      </c>
    </row>
    <row r="3" spans="1:15" x14ac:dyDescent="0.35">
      <c r="A3" s="26" t="s">
        <v>479</v>
      </c>
      <c r="B3" s="27" t="s">
        <v>480</v>
      </c>
      <c r="C3" s="26" t="s">
        <v>108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 t="s">
        <v>109</v>
      </c>
    </row>
    <row r="4" spans="1:15" x14ac:dyDescent="0.35">
      <c r="A4" s="26" t="s">
        <v>481</v>
      </c>
      <c r="B4" s="27" t="s">
        <v>482</v>
      </c>
      <c r="C4" s="26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TOP SHEET</vt:lpstr>
      <vt:lpstr>SCENE BREAKDOWN</vt:lpstr>
      <vt:lpstr>1100</vt:lpstr>
      <vt:lpstr>1200</vt:lpstr>
      <vt:lpstr>1400</vt:lpstr>
      <vt:lpstr>1500</vt:lpstr>
      <vt:lpstr>1600</vt:lpstr>
      <vt:lpstr>2100</vt:lpstr>
      <vt:lpstr>2200</vt:lpstr>
      <vt:lpstr>2300</vt:lpstr>
      <vt:lpstr>2400</vt:lpstr>
      <vt:lpstr>2500</vt:lpstr>
      <vt:lpstr>2600</vt:lpstr>
      <vt:lpstr>2700</vt:lpstr>
      <vt:lpstr>2800</vt:lpstr>
      <vt:lpstr>2900</vt:lpstr>
      <vt:lpstr>3000</vt:lpstr>
      <vt:lpstr>3100</vt:lpstr>
      <vt:lpstr>3200</vt:lpstr>
      <vt:lpstr>3300</vt:lpstr>
      <vt:lpstr>3400</vt:lpstr>
      <vt:lpstr>3500</vt:lpstr>
      <vt:lpstr>3600</vt:lpstr>
      <vt:lpstr>3800</vt:lpstr>
      <vt:lpstr>3900</vt:lpstr>
      <vt:lpstr>5100</vt:lpstr>
      <vt:lpstr>5200</vt:lpstr>
      <vt:lpstr>5300</vt:lpstr>
      <vt:lpstr>5400</vt:lpstr>
      <vt:lpstr>5500</vt:lpstr>
      <vt:lpstr>5600</vt:lpstr>
      <vt:lpstr>5700</vt:lpstr>
      <vt:lpstr>6100</vt:lpstr>
      <vt:lpstr>6200</vt:lpstr>
      <vt:lpstr>6300</vt:lpstr>
      <vt:lpstr>6400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Becket Nelson</cp:lastModifiedBy>
  <dcterms:created xsi:type="dcterms:W3CDTF">2026-05-11T22:46:23Z</dcterms:created>
  <dcterms:modified xsi:type="dcterms:W3CDTF">2026-05-11T23:12:08Z</dcterms:modified>
</cp:coreProperties>
</file>
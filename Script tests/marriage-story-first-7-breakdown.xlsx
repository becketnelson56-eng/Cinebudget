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SHEET" sheetId="1" state="visible" r:id="rId1"/>
    <sheet name="SCENE BREAKDOWN" sheetId="2" state="visible" r:id="rId2"/>
    <sheet name="1100 – Development" sheetId="3" state="visible" r:id="rId3"/>
    <sheet name="1200 – Story &amp; Rights" sheetId="4" state="visible" r:id="rId4"/>
    <sheet name="1400 – Producers Unit" sheetId="5" state="visible" r:id="rId5"/>
    <sheet name="1500 – Directors Unit" sheetId="6" state="visible" r:id="rId6"/>
    <sheet name="1600 – Talent (Cast)" sheetId="7" state="visible" r:id="rId7"/>
    <sheet name="2100 – Production Staff" sheetId="8" state="visible" r:id="rId8"/>
    <sheet name="2200 – Art Direction" sheetId="9" state="visible" r:id="rId9"/>
    <sheet name="2300 – Set Construction" sheetId="10" state="visible" r:id="rId10"/>
    <sheet name="2400 – Set Decoration" sheetId="11" state="visible" r:id="rId11"/>
    <sheet name="2500 – Props" sheetId="12" state="visible" r:id="rId12"/>
    <sheet name="2600 – Camera" sheetId="13" state="visible" r:id="rId13"/>
    <sheet name="2700 – Electric" sheetId="14" state="visible" r:id="rId14"/>
    <sheet name="2800 – Grip" sheetId="15" state="visible" r:id="rId15"/>
    <sheet name="2900 – Production Sound" sheetId="16" state="visible" r:id="rId16"/>
    <sheet name="2950 – Stunts &amp; Safety" sheetId="17" state="visible" r:id="rId17"/>
    <sheet name="3000 – Mechanical FX" sheetId="18" state="visible" r:id="rId18"/>
    <sheet name="3100 – Special VFX" sheetId="19" state="visible" r:id="rId19"/>
    <sheet name="3200 – Set Operations" sheetId="20" state="visible" r:id="rId20"/>
    <sheet name="3300 – Wardrobe" sheetId="21" state="visible" r:id="rId21"/>
    <sheet name="3400 – Makeup &amp; Hair" sheetId="22" state="visible" r:id="rId22"/>
    <sheet name="3500 – Locations" sheetId="23" state="visible" r:id="rId23"/>
    <sheet name="3600 – Transportation" sheetId="24" state="visible" r:id="rId24"/>
    <sheet name="3800 – Studio Facilities" sheetId="25" state="visible" r:id="rId25"/>
    <sheet name="3900 – Atmosphere" sheetId="26" state="visible" r:id="rId26"/>
    <sheet name="5100 – Editing" sheetId="27" state="visible" r:id="rId27"/>
    <sheet name="5200 – Post Film &amp; Lab" sheetId="28" state="visible" r:id="rId28"/>
    <sheet name="5300 – Post Sound" sheetId="29" state="visible" r:id="rId29"/>
    <sheet name="5400 – Music" sheetId="30" state="visible" r:id="rId30"/>
    <sheet name="5500 – Titles" sheetId="31" state="visible" r:id="rId31"/>
    <sheet name="5600 – Opticals &amp; Post VFX" sheetId="32" state="visible" r:id="rId32"/>
    <sheet name="5700 – Post Video" sheetId="33" state="visible" r:id="rId33"/>
    <sheet name="6100 – Insurance" sheetId="34" state="visible" r:id="rId34"/>
    <sheet name="6200 – Legal" sheetId="35" state="visible" r:id="rId35"/>
    <sheet name="6300 – Publicity" sheetId="36" state="visible" r:id="rId36"/>
    <sheet name="6400 – Miscellaneous" sheetId="37" state="visible" r:id="rId37"/>
  </sheets>
  <definedNames/>
  <calcPr calcId="124519" fullCalcOnLoad="1"/>
</workbook>
</file>

<file path=xl/styles.xml><?xml version="1.0" encoding="utf-8"?>
<styleSheet xmlns="http://schemas.openxmlformats.org/spreadsheetml/2006/main">
  <numFmts count="1">
    <numFmt numFmtId="164" formatCode="&quot;$&quot;#,##0.00"/>
  </numFmts>
  <fonts count="14">
    <font>
      <name val="Calibri"/>
      <family val="2"/>
      <color theme="1"/>
      <sz val="11"/>
      <scheme val="minor"/>
    </font>
    <font>
      <b val="1"/>
      <color rgb="001F3864"/>
      <sz val="14"/>
    </font>
    <font>
      <b val="1"/>
      <color rgb="00FFFFFF"/>
      <sz val="10"/>
    </font>
    <font>
      <sz val="10"/>
    </font>
    <font>
      <i val="1"/>
      <color rgb="006C757D"/>
      <sz val="10"/>
    </font>
    <font>
      <color rgb="000563C1"/>
      <sz val="10"/>
      <u val="single"/>
    </font>
    <font>
      <color rgb="006C757D"/>
      <sz val="10"/>
    </font>
    <font>
      <color rgb="00385723"/>
      <sz val="10"/>
    </font>
    <font>
      <i val="1"/>
      <sz val="10"/>
    </font>
    <font>
      <b val="1"/>
      <color rgb="00375623"/>
      <sz val="10"/>
    </font>
    <font>
      <b val="1"/>
      <color rgb="00974706"/>
      <sz val="10"/>
    </font>
    <font>
      <b val="1"/>
      <sz val="10"/>
    </font>
    <font>
      <b val="1"/>
      <color rgb="00385723"/>
      <sz val="10"/>
    </font>
    <font>
      <b val="1"/>
      <color rgb="00FFFFFF"/>
      <sz val="11"/>
    </font>
  </fonts>
  <fills count="19">
    <fill>
      <patternFill/>
    </fill>
    <fill>
      <patternFill patternType="gray125"/>
    </fill>
    <fill>
      <patternFill patternType="solid">
        <fgColor rgb="001F3864"/>
        <bgColor rgb="001F3864"/>
      </patternFill>
    </fill>
    <fill>
      <patternFill patternType="solid">
        <fgColor rgb="00C00000"/>
        <bgColor rgb="00C00000"/>
      </patternFill>
    </fill>
    <fill>
      <patternFill patternType="solid">
        <fgColor rgb="009C6500"/>
        <bgColor rgb="009C6500"/>
      </patternFill>
    </fill>
    <fill>
      <patternFill patternType="solid">
        <fgColor rgb="00375623"/>
        <bgColor rgb="00375623"/>
      </patternFill>
    </fill>
    <fill>
      <patternFill patternType="solid">
        <fgColor rgb="002F5597"/>
        <bgColor rgb="002F5597"/>
      </patternFill>
    </fill>
    <fill>
      <patternFill patternType="solid">
        <fgColor rgb="00833C00"/>
        <bgColor rgb="00833C00"/>
      </patternFill>
    </fill>
    <fill>
      <patternFill patternType="solid">
        <fgColor rgb="003E1153"/>
        <bgColor rgb="003E1153"/>
      </patternFill>
    </fill>
    <fill>
      <patternFill patternType="solid">
        <fgColor rgb="00843C0C"/>
        <bgColor rgb="00843C0C"/>
      </patternFill>
    </fill>
    <fill>
      <patternFill patternType="solid">
        <fgColor rgb="00843C78"/>
        <bgColor rgb="00843C78"/>
      </patternFill>
    </fill>
    <fill>
      <patternFill patternType="solid">
        <fgColor rgb="00006E6F"/>
        <bgColor rgb="00006E6F"/>
      </patternFill>
    </fill>
    <fill>
      <patternFill patternType="solid">
        <fgColor rgb="00404040"/>
        <bgColor rgb="00404040"/>
      </patternFill>
    </fill>
    <fill>
      <patternFill patternType="solid">
        <fgColor rgb="00006B8A"/>
        <bgColor rgb="00006B8A"/>
      </patternFill>
    </fill>
    <fill>
      <patternFill patternType="solid">
        <fgColor rgb="00F1F3F5"/>
        <bgColor rgb="00F1F3F5"/>
      </patternFill>
    </fill>
    <fill>
      <patternFill patternType="solid">
        <fgColor rgb="00F8D7DA"/>
        <bgColor rgb="00F8D7DA"/>
      </patternFill>
    </fill>
    <fill>
      <patternFill patternType="solid">
        <fgColor rgb="00D4EDDA"/>
        <bgColor rgb="00D4EDDA"/>
      </patternFill>
    </fill>
    <fill>
      <patternFill patternType="solid">
        <fgColor rgb="00FFF3CD"/>
        <bgColor rgb="00FFF3CD"/>
      </patternFill>
    </fill>
    <fill>
      <patternFill patternType="solid">
        <fgColor rgb="00D9D9D9"/>
        <bgColor rgb="00D9D9D9"/>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2" borderId="0" applyAlignment="1" pivotButton="0" quotePrefix="0" xfId="0">
      <alignment horizontal="center" vertical="top"/>
    </xf>
    <xf numFmtId="0" fontId="2" fillId="2" borderId="0" pivotButton="0" quotePrefix="0" xfId="0"/>
    <xf numFmtId="0" fontId="0" fillId="2" borderId="0" pivotButton="0" quotePrefix="0" xfId="0"/>
    <xf numFmtId="0" fontId="3" fillId="0" borderId="0" pivotButton="0" quotePrefix="0" xfId="0"/>
    <xf numFmtId="164" fontId="7" fillId="0" borderId="0" pivotButton="0" quotePrefix="0" xfId="0"/>
    <xf numFmtId="0" fontId="11" fillId="18" borderId="0" pivotButton="0" quotePrefix="0" xfId="0"/>
    <xf numFmtId="0" fontId="0" fillId="18" borderId="0" pivotButton="0" quotePrefix="0" xfId="0"/>
    <xf numFmtId="164" fontId="12" fillId="18" borderId="0" pivotButton="0" quotePrefix="0" xfId="0"/>
    <xf numFmtId="0" fontId="13" fillId="2" borderId="0" pivotButton="0" quotePrefix="0" xfId="0"/>
    <xf numFmtId="164" fontId="13" fillId="2" borderId="0" pivotButton="0" quotePrefix="0" xfId="0"/>
    <xf numFmtId="0" fontId="2" fillId="2" borderId="0" applyAlignment="1" pivotButton="0" quotePrefix="0" xfId="0">
      <alignment horizontal="center"/>
    </xf>
    <xf numFmtId="0" fontId="2" fillId="3" borderId="0" applyAlignment="1" pivotButton="0" quotePrefix="0" xfId="0">
      <alignment horizontal="center"/>
    </xf>
    <xf numFmtId="0" fontId="2" fillId="4" borderId="0" applyAlignment="1" pivotButton="0" quotePrefix="0" xfId="0">
      <alignment horizontal="center"/>
    </xf>
    <xf numFmtId="0" fontId="2" fillId="5" borderId="0" applyAlignment="1" pivotButton="0" quotePrefix="0" xfId="0">
      <alignment horizontal="center"/>
    </xf>
    <xf numFmtId="0" fontId="2" fillId="6"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2" fillId="10" borderId="0" applyAlignment="1" pivotButton="0" quotePrefix="0" xfId="0">
      <alignment horizontal="center"/>
    </xf>
    <xf numFmtId="0" fontId="2" fillId="11" borderId="0" applyAlignment="1" pivotButton="0" quotePrefix="0" xfId="0">
      <alignment horizontal="center"/>
    </xf>
    <xf numFmtId="0" fontId="2" fillId="12" borderId="0" applyAlignment="1" pivotButton="0" quotePrefix="0" xfId="0">
      <alignment horizontal="center"/>
    </xf>
    <xf numFmtId="0" fontId="2" fillId="13" borderId="0" applyAlignment="1" pivotButton="0" quotePrefix="0" xfId="0">
      <alignment horizontal="center"/>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14" borderId="0" pivotButton="0" quotePrefix="0" xfId="0"/>
    <xf numFmtId="0" fontId="4" fillId="14" borderId="0" applyAlignment="1" pivotButton="0" quotePrefix="0" xfId="0">
      <alignment vertical="top" wrapText="1"/>
    </xf>
    <xf numFmtId="0" fontId="0" fillId="14" borderId="0" pivotButton="0" quotePrefix="0" xfId="0"/>
    <xf numFmtId="0" fontId="6" fillId="15" borderId="0" applyAlignment="1" pivotButton="0" quotePrefix="0" xfId="0">
      <alignment horizontal="center" vertical="top"/>
    </xf>
    <xf numFmtId="164" fontId="0" fillId="0" borderId="0" pivotButton="0" quotePrefix="0" xfId="0"/>
    <xf numFmtId="0" fontId="5" fillId="0" borderId="0" pivotButton="0" quotePrefix="0" xfId="0"/>
    <xf numFmtId="0" fontId="8" fillId="0" borderId="0" applyAlignment="1" pivotButton="0" quotePrefix="0" xfId="0">
      <alignment vertical="top" wrapText="1"/>
    </xf>
    <xf numFmtId="0" fontId="9" fillId="0" borderId="0" pivotButton="0" quotePrefix="0" xfId="0"/>
    <xf numFmtId="0" fontId="9" fillId="16" borderId="0" applyAlignment="1" pivotButton="0" quotePrefix="0" xfId="0">
      <alignment horizontal="center" vertical="top"/>
    </xf>
    <xf numFmtId="0" fontId="6" fillId="17" borderId="0" applyAlignment="1" pivotButton="0" quotePrefix="0" xfId="0">
      <alignment horizontal="center" vertical="top"/>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 Type="http://schemas.openxmlformats.org/officeDocument/2006/relationships/hyperlink" Target="file:///C:/Users/Becket%20Nelson/OneDrive/Claude%20Code%20Stuff/ScriptBreakdown/marriage-story-first-7.pdf" TargetMode="External" Id="rId6" /><Relationship Type="http://schemas.openxmlformats.org/officeDocument/2006/relationships/hyperlink" Target="file:///C:/Users/Becket%20Nelson/OneDrive/Claude%20Code%20Stuff/ScriptBreakdown/marriage-story-first-7.pdf" TargetMode="External" Id="rId7" /><Relationship Type="http://schemas.openxmlformats.org/officeDocument/2006/relationships/hyperlink" Target="file:///C:/Users/Becket%20Nelson/OneDrive/Claude%20Code%20Stuff/ScriptBreakdown/marriage-story-first-7.pdf" TargetMode="External" Id="rId8" /><Relationship Type="http://schemas.openxmlformats.org/officeDocument/2006/relationships/hyperlink" Target="file:///C:/Users/Becket%20Nelson/OneDrive/Claude%20Code%20Stuff/ScriptBreakdown/marriage-story-first-7.pdf" TargetMode="External" Id="rId9" /><Relationship Type="http://schemas.openxmlformats.org/officeDocument/2006/relationships/hyperlink" Target="file:///C:/Users/Becket%20Nelson/OneDrive/Claude%20Code%20Stuff/ScriptBreakdown/marriage-story-first-7.pdf" TargetMode="External" Id="rId10" /><Relationship Type="http://schemas.openxmlformats.org/officeDocument/2006/relationships/hyperlink" Target="file:///C:/Users/Becket%20Nelson/OneDrive/Claude%20Code%20Stuff/ScriptBreakdown/marriage-story-first-7.pdf" TargetMode="External" Id="rId11" /><Relationship Type="http://schemas.openxmlformats.org/officeDocument/2006/relationships/hyperlink" Target="file:///C:/Users/Becket%20Nelson/OneDrive/Claude%20Code%20Stuff/ScriptBreakdown/marriage-story-first-7.pdf" TargetMode="External" Id="rId12" /><Relationship Type="http://schemas.openxmlformats.org/officeDocument/2006/relationships/hyperlink" Target="file:///C:/Users/Becket%20Nelson/OneDrive/Claude%20Code%20Stuff/ScriptBreakdown/marriage-story-first-7.pdf" TargetMode="External" Id="rId13" /><Relationship Type="http://schemas.openxmlformats.org/officeDocument/2006/relationships/hyperlink" Target="file:///C:/Users/Becket%20Nelson/OneDrive/Claude%20Code%20Stuff/ScriptBreakdown/marriage-story-first-7.pdf" TargetMode="External" Id="rId14" /><Relationship Type="http://schemas.openxmlformats.org/officeDocument/2006/relationships/hyperlink" Target="file:///C:/Users/Becket%20Nelson/OneDrive/Claude%20Code%20Stuff/ScriptBreakdown/marriage-story-first-7.pdf" TargetMode="External" Id="rId15" /><Relationship Type="http://schemas.openxmlformats.org/officeDocument/2006/relationships/hyperlink" Target="file:///C:/Users/Becket%20Nelson/OneDrive/Claude%20Code%20Stuff/ScriptBreakdown/marriage-story-first-7.pdf" TargetMode="External" Id="rId16" /><Relationship Type="http://schemas.openxmlformats.org/officeDocument/2006/relationships/hyperlink" Target="file:///C:/Users/Becket%20Nelson/OneDrive/Claude%20Code%20Stuff/ScriptBreakdown/marriage-story-first-7.pdf" TargetMode="External" Id="rId17" /><Relationship Type="http://schemas.openxmlformats.org/officeDocument/2006/relationships/hyperlink" Target="file:///C:/Users/Becket%20Nelson/OneDrive/Claude%20Code%20Stuff/ScriptBreakdown/marriage-story-first-7.pdf" TargetMode="External" Id="rId18" /><Relationship Type="http://schemas.openxmlformats.org/officeDocument/2006/relationships/hyperlink" Target="file:///C:/Users/Becket%20Nelson/OneDrive/Claude%20Code%20Stuff/ScriptBreakdown/marriage-story-first-7.pdf" TargetMode="External" Id="rId19" /></Relationships>
</file>

<file path=xl/worksheets/_rels/sheet7.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s>
</file>

<file path=xl/worksheets/_rels/sheet9.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s>
</file>

<file path=xl/worksheets/_rels/sheet11.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 Type="http://schemas.openxmlformats.org/officeDocument/2006/relationships/hyperlink" Target="file:///C:/Users/Becket%20Nelson/OneDrive/Claude%20Code%20Stuff/ScriptBreakdown/marriage-story-first-7.pdf" TargetMode="External" Id="rId6" /><Relationship Type="http://schemas.openxmlformats.org/officeDocument/2006/relationships/hyperlink" Target="file:///C:/Users/Becket%20Nelson/OneDrive/Claude%20Code%20Stuff/ScriptBreakdown/marriage-story-first-7.pdf" TargetMode="External" Id="rId7" /><Relationship Type="http://schemas.openxmlformats.org/officeDocument/2006/relationships/hyperlink" Target="file:///C:/Users/Becket%20Nelson/OneDrive/Claude%20Code%20Stuff/ScriptBreakdown/marriage-story-first-7.pdf" TargetMode="External" Id="rId8" /><Relationship Type="http://schemas.openxmlformats.org/officeDocument/2006/relationships/hyperlink" Target="file:///C:/Users/Becket%20Nelson/OneDrive/Claude%20Code%20Stuff/ScriptBreakdown/marriage-story-first-7.pdf" TargetMode="External" Id="rId9" /></Relationships>
</file>

<file path=xl/worksheets/_rels/sheet12.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 Type="http://schemas.openxmlformats.org/officeDocument/2006/relationships/hyperlink" Target="file:///C:/Users/Becket%20Nelson/OneDrive/Claude%20Code%20Stuff/ScriptBreakdown/marriage-story-first-7.pdf" TargetMode="External" Id="rId6" /><Relationship Type="http://schemas.openxmlformats.org/officeDocument/2006/relationships/hyperlink" Target="file:///C:/Users/Becket%20Nelson/OneDrive/Claude%20Code%20Stuff/ScriptBreakdown/marriage-story-first-7.pdf" TargetMode="External" Id="rId7" /><Relationship Type="http://schemas.openxmlformats.org/officeDocument/2006/relationships/hyperlink" Target="file:///C:/Users/Becket%20Nelson/OneDrive/Claude%20Code%20Stuff/ScriptBreakdown/marriage-story-first-7.pdf" TargetMode="External" Id="rId8" /><Relationship Type="http://schemas.openxmlformats.org/officeDocument/2006/relationships/hyperlink" Target="file:///C:/Users/Becket%20Nelson/OneDrive/Claude%20Code%20Stuff/ScriptBreakdown/marriage-story-first-7.pdf" TargetMode="External" Id="rId9" /><Relationship Type="http://schemas.openxmlformats.org/officeDocument/2006/relationships/hyperlink" Target="file:///C:/Users/Becket%20Nelson/OneDrive/Claude%20Code%20Stuff/ScriptBreakdown/marriage-story-first-7.pdf" TargetMode="External" Id="rId10" /><Relationship Type="http://schemas.openxmlformats.org/officeDocument/2006/relationships/hyperlink" Target="file:///C:/Users/Becket%20Nelson/OneDrive/Claude%20Code%20Stuff/ScriptBreakdown/marriage-story-first-7.pdf" TargetMode="External" Id="rId11" /><Relationship Type="http://schemas.openxmlformats.org/officeDocument/2006/relationships/hyperlink" Target="file:///C:/Users/Becket%20Nelson/OneDrive/Claude%20Code%20Stuff/ScriptBreakdown/marriage-story-first-7.pdf" TargetMode="External" Id="rId12" /><Relationship Type="http://schemas.openxmlformats.org/officeDocument/2006/relationships/hyperlink" Target="file:///C:/Users/Becket%20Nelson/OneDrive/Claude%20Code%20Stuff/ScriptBreakdown/marriage-story-first-7.pdf" TargetMode="External" Id="rId13" /><Relationship Type="http://schemas.openxmlformats.org/officeDocument/2006/relationships/hyperlink" Target="file:///C:/Users/Becket%20Nelson/OneDrive/Claude%20Code%20Stuff/ScriptBreakdown/marriage-story-first-7.pdf" TargetMode="External" Id="rId14" /><Relationship Type="http://schemas.openxmlformats.org/officeDocument/2006/relationships/hyperlink" Target="file:///C:/Users/Becket%20Nelson/OneDrive/Claude%20Code%20Stuff/ScriptBreakdown/marriage-story-first-7.pdf" TargetMode="External" Id="rId15" /><Relationship Type="http://schemas.openxmlformats.org/officeDocument/2006/relationships/hyperlink" Target="file:///C:/Users/Becket%20Nelson/OneDrive/Claude%20Code%20Stuff/ScriptBreakdown/marriage-story-first-7.pdf" TargetMode="External" Id="rId16" /><Relationship Type="http://schemas.openxmlformats.org/officeDocument/2006/relationships/hyperlink" Target="file:///C:/Users/Becket%20Nelson/OneDrive/Claude%20Code%20Stuff/ScriptBreakdown/marriage-story-first-7.pdf" TargetMode="External" Id="rId17" /></Relationships>
</file>

<file path=xl/worksheets/_rels/sheet17.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s>
</file>

<file path=xl/worksheets/_rels/sheet20.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s>
</file>

<file path=xl/worksheets/_rels/sheet21.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 Type="http://schemas.openxmlformats.org/officeDocument/2006/relationships/hyperlink" Target="file:///C:/Users/Becket%20Nelson/OneDrive/Claude%20Code%20Stuff/ScriptBreakdown/marriage-story-first-7.pdf" TargetMode="External" Id="rId4" /><Relationship Type="http://schemas.openxmlformats.org/officeDocument/2006/relationships/hyperlink" Target="file:///C:/Users/Becket%20Nelson/OneDrive/Claude%20Code%20Stuff/ScriptBreakdown/marriage-story-first-7.pdf" TargetMode="External" Id="rId5" /><Relationship Type="http://schemas.openxmlformats.org/officeDocument/2006/relationships/hyperlink" Target="file:///C:/Users/Becket%20Nelson/OneDrive/Claude%20Code%20Stuff/ScriptBreakdown/marriage-story-first-7.pdf" TargetMode="External" Id="rId6" /><Relationship Type="http://schemas.openxmlformats.org/officeDocument/2006/relationships/hyperlink" Target="file:///C:/Users/Becket%20Nelson/OneDrive/Claude%20Code%20Stuff/ScriptBreakdown/marriage-story-first-7.pdf" TargetMode="External" Id="rId7" /></Relationships>
</file>

<file path=xl/worksheets/_rels/sheet22.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s>
</file>

<file path=xl/worksheets/_rels/sheet23.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 Type="http://schemas.openxmlformats.org/officeDocument/2006/relationships/hyperlink" Target="file:///C:/Users/Becket%20Nelson/OneDrive/Claude%20Code%20Stuff/ScriptBreakdown/marriage-story-first-7.pdf" TargetMode="External" Id="rId3" /></Relationships>
</file>

<file path=xl/worksheets/_rels/sheet26.xml.rels><Relationships xmlns="http://schemas.openxmlformats.org/package/2006/relationships"><Relationship Type="http://schemas.openxmlformats.org/officeDocument/2006/relationships/hyperlink" Target="file:///C:/Users/Becket%20Nelson/OneDrive/Claude%20Code%20Stuff/ScriptBreakdown/marriage-story-first-7.pdf" TargetMode="External" Id="rId1" /><Relationship Type="http://schemas.openxmlformats.org/officeDocument/2006/relationships/hyperlink" Target="file:///C:/Users/Becket%20Nelson/OneDrive/Claude%20Code%20Stuff/ScriptBreakdown/marriage-story-first-7.pdf" TargetMode="External" Id="rId2" /></Relationships>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52" customWidth="1" min="1" max="1"/>
    <col width="18" customWidth="1" min="2" max="2"/>
    <col width="16" customWidth="1" min="3" max="3"/>
  </cols>
  <sheetData>
    <row r="1">
      <c r="A1" s="1" t="inlineStr">
        <is>
          <t>PRODUCTION BUDGET — TOP SHEET</t>
        </is>
      </c>
    </row>
    <row r="2">
      <c r="A2" s="2" t="inlineStr">
        <is>
          <t>Category</t>
        </is>
      </c>
      <c r="B2" s="2" t="inlineStr">
        <is>
          <t>Account(s)</t>
        </is>
      </c>
      <c r="C2" s="2" t="inlineStr">
        <is>
          <t>Total</t>
        </is>
      </c>
    </row>
    <row r="3">
      <c r="A3" s="3" t="inlineStr">
        <is>
          <t>ABOVE THE LINE</t>
        </is>
      </c>
      <c r="B3" s="4" t="n"/>
      <c r="C3" s="4" t="n"/>
    </row>
    <row r="4">
      <c r="A4" s="5" t="inlineStr">
        <is>
          <t>1100-1200 – Development + Story &amp; Rights</t>
        </is>
      </c>
      <c r="C4" s="6">
        <f>SUM('1100 – Development'!H:H,'1200 – Story &amp; Rights'!H:H)</f>
        <v/>
      </c>
    </row>
    <row r="5">
      <c r="A5" s="5" t="inlineStr">
        <is>
          <t>1400 – Producers Unit</t>
        </is>
      </c>
      <c r="C5" s="6">
        <f>SUM('1400 – Producers Unit'!H:H)</f>
        <v/>
      </c>
    </row>
    <row r="6">
      <c r="A6" s="5" t="inlineStr">
        <is>
          <t>1500 – Directors Unit</t>
        </is>
      </c>
      <c r="C6" s="6">
        <f>SUM('1500 – Directors Unit'!H:H)</f>
        <v/>
      </c>
    </row>
    <row r="7">
      <c r="A7" s="5" t="inlineStr">
        <is>
          <t>1600 – Talent (Cast)</t>
        </is>
      </c>
      <c r="C7" s="6">
        <f>SUM('1600 – Talent (Cast)'!H:H)</f>
        <v/>
      </c>
    </row>
    <row r="8">
      <c r="A8" s="7" t="inlineStr">
        <is>
          <t>TOTAL ABOVE THE LINE</t>
        </is>
      </c>
      <c r="B8" s="8" t="n"/>
      <c r="C8" s="9">
        <f>SUM(C4:C7)</f>
        <v/>
      </c>
    </row>
    <row r="10">
      <c r="A10" s="3" t="inlineStr">
        <is>
          <t>BELOW THE LINE</t>
        </is>
      </c>
      <c r="B10" s="4" t="n"/>
      <c r="C10" s="4" t="n"/>
    </row>
    <row r="11">
      <c r="A11" s="5" t="inlineStr">
        <is>
          <t>2100 – Production Staff</t>
        </is>
      </c>
      <c r="C11" s="6">
        <f>SUM('2100 – Production Staff'!H:H)</f>
        <v/>
      </c>
    </row>
    <row r="12">
      <c r="A12" s="5" t="inlineStr">
        <is>
          <t>2200-2400 – Art Direction + Set Construction + Set Decoration</t>
        </is>
      </c>
      <c r="C12" s="6">
        <f>SUM('2200 – Art Direction'!H:H,'2300 – Set Construction'!H:H,'2400 – Set Decoration'!H:H)</f>
        <v/>
      </c>
    </row>
    <row r="13">
      <c r="A13" s="5" t="inlineStr">
        <is>
          <t>2500 – Props</t>
        </is>
      </c>
      <c r="C13" s="6">
        <f>SUM('2500 – Props'!H:H)</f>
        <v/>
      </c>
    </row>
    <row r="14">
      <c r="A14" s="5" t="inlineStr">
        <is>
          <t>2600 – Camera</t>
        </is>
      </c>
      <c r="C14" s="6">
        <f>SUM('2600 – Camera'!H:H)</f>
        <v/>
      </c>
    </row>
    <row r="15">
      <c r="A15" s="5" t="inlineStr">
        <is>
          <t>2700 – Electric</t>
        </is>
      </c>
      <c r="C15" s="6">
        <f>SUM('2700 – Electric'!H:H)</f>
        <v/>
      </c>
    </row>
    <row r="16">
      <c r="A16" s="5" t="inlineStr">
        <is>
          <t>2800 – Grip</t>
        </is>
      </c>
      <c r="C16" s="6">
        <f>SUM('2800 – Grip'!H:H)</f>
        <v/>
      </c>
    </row>
    <row r="17">
      <c r="A17" s="5" t="inlineStr">
        <is>
          <t>2900 – Production Sound</t>
        </is>
      </c>
      <c r="C17" s="6">
        <f>SUM('2900 – Production Sound'!H:H)</f>
        <v/>
      </c>
    </row>
    <row r="18">
      <c r="A18" s="5" t="inlineStr">
        <is>
          <t>2950 – Stunts &amp; Safety</t>
        </is>
      </c>
      <c r="C18" s="6">
        <f>SUM('2950 – Stunts &amp; Safety'!H:H)</f>
        <v/>
      </c>
    </row>
    <row r="19">
      <c r="A19" s="5" t="inlineStr">
        <is>
          <t>3000-3100 – Mechanical FX + Special VFX</t>
        </is>
      </c>
      <c r="C19" s="6">
        <f>SUM('3000 – Mechanical FX'!H:H,'3100 – Special VFX'!H:H)</f>
        <v/>
      </c>
    </row>
    <row r="20">
      <c r="A20" s="5" t="inlineStr">
        <is>
          <t>3200 – Set Operations</t>
        </is>
      </c>
      <c r="C20" s="6">
        <f>SUM('3200 – Set Operations'!H:H)</f>
        <v/>
      </c>
    </row>
    <row r="21">
      <c r="A21" s="5" t="inlineStr">
        <is>
          <t>3300 – Wardrobe</t>
        </is>
      </c>
      <c r="C21" s="6">
        <f>SUM('3300 – Wardrobe'!H:H)</f>
        <v/>
      </c>
    </row>
    <row r="22">
      <c r="A22" s="5" t="inlineStr">
        <is>
          <t>3400 – Makeup &amp; Hair</t>
        </is>
      </c>
      <c r="C22" s="6">
        <f>SUM('3400 – Makeup &amp; Hair'!H:H)</f>
        <v/>
      </c>
    </row>
    <row r="23">
      <c r="A23" s="5" t="inlineStr">
        <is>
          <t>3500 – Locations</t>
        </is>
      </c>
      <c r="C23" s="6">
        <f>SUM('3500 – Locations'!H:H)</f>
        <v/>
      </c>
    </row>
    <row r="24">
      <c r="A24" s="5" t="inlineStr">
        <is>
          <t>3600 – Transportation</t>
        </is>
      </c>
      <c r="C24" s="6">
        <f>SUM('3600 – Transportation'!H:H)</f>
        <v/>
      </c>
    </row>
    <row r="25">
      <c r="A25" s="5" t="inlineStr">
        <is>
          <t>3800-3900 – Studio Facilities + Atmosphere</t>
        </is>
      </c>
      <c r="C25" s="6">
        <f>SUM('3800 – Studio Facilities'!H:H,'3900 – Atmosphere'!H:H)</f>
        <v/>
      </c>
    </row>
    <row r="26">
      <c r="A26" s="7" t="inlineStr">
        <is>
          <t>TOTAL BELOW THE LINE</t>
        </is>
      </c>
      <c r="B26" s="8" t="n"/>
      <c r="C26" s="9">
        <f>SUM(C11:C25)</f>
        <v/>
      </c>
    </row>
    <row r="28">
      <c r="A28" s="3" t="inlineStr">
        <is>
          <t>POST PRODUCTION</t>
        </is>
      </c>
      <c r="B28" s="4" t="n"/>
      <c r="C28" s="4" t="n"/>
    </row>
    <row r="29">
      <c r="A29" s="5" t="inlineStr">
        <is>
          <t>5100-5700 – Post Production (Editing, Lab, Sound, Music, Titles, Opticals)</t>
        </is>
      </c>
      <c r="C29" s="6">
        <f>SUM('5100 – Editing'!H:H,'5200 – Post Film &amp; Lab'!H:H,'5300 – Post Sound'!H:H,'5400 – Music'!H:H,'5500 – Titles'!H:H,'5600 – Opticals &amp; Post VFX'!H:H,'5700 – Post Video'!H:H)</f>
        <v/>
      </c>
    </row>
    <row r="30">
      <c r="A30" s="7" t="inlineStr">
        <is>
          <t>TOTAL POST PRODUCTION</t>
        </is>
      </c>
      <c r="B30" s="8" t="n"/>
      <c r="C30" s="9">
        <f>SUM(C29)</f>
        <v/>
      </c>
    </row>
    <row r="32">
      <c r="A32" s="3" t="inlineStr">
        <is>
          <t>OTHER</t>
        </is>
      </c>
      <c r="B32" s="4" t="n"/>
      <c r="C32" s="4" t="n"/>
    </row>
    <row r="33">
      <c r="A33" s="5" t="inlineStr">
        <is>
          <t>6100 – Insurance</t>
        </is>
      </c>
      <c r="C33" s="6">
        <f>SUM('6100 – Insurance'!H:H)</f>
        <v/>
      </c>
    </row>
    <row r="34">
      <c r="A34" s="5" t="inlineStr">
        <is>
          <t>6200 – Legal</t>
        </is>
      </c>
      <c r="C34" s="6">
        <f>SUM('6200 – Legal'!H:H)</f>
        <v/>
      </c>
    </row>
    <row r="35">
      <c r="A35" s="5" t="inlineStr">
        <is>
          <t>6300 – Publicity</t>
        </is>
      </c>
      <c r="C35" s="6">
        <f>SUM('6300 – Publicity'!H:H)</f>
        <v/>
      </c>
    </row>
    <row r="36">
      <c r="A36" s="5" t="inlineStr">
        <is>
          <t>6400 – Contingency (10%)</t>
        </is>
      </c>
      <c r="C36" s="6">
        <f>(C8+C26+C30)*0.10</f>
        <v/>
      </c>
    </row>
    <row r="37">
      <c r="A37" s="10" t="inlineStr">
        <is>
          <t>GRAND TOTAL</t>
        </is>
      </c>
      <c r="B37" s="4" t="n"/>
      <c r="C37" s="11">
        <f>C8+C26+C30+C33+C34+C35+C36</f>
        <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8" customWidth="1" min="3" max="3"/>
    <col width="10" customWidth="1" min="4" max="4"/>
    <col width="10" customWidth="1" min="5" max="5"/>
    <col width="10" customWidth="1" min="6" max="6"/>
    <col width="22" customWidth="1" min="7" max="7"/>
    <col width="16" customWidth="1" min="8" max="8"/>
    <col width="22" customWidth="1" min="9" max="9"/>
    <col width="16" customWidth="1" min="10" max="10"/>
    <col width="18" customWidth="1" min="11" max="11"/>
    <col width="13" customWidth="1" min="12" max="12"/>
    <col width="20" customWidth="1" min="13" max="13"/>
    <col width="16" customWidth="1" min="14" max="14"/>
    <col width="16" customWidth="1" min="15" max="15"/>
    <col width="20" customWidth="1" min="16" max="16"/>
    <col width="18" customWidth="1" min="17" max="17"/>
    <col width="14" customWidth="1" min="18" max="18"/>
    <col width="12" customWidth="1" min="19" max="19"/>
    <col width="14" customWidth="1" min="20" max="20"/>
    <col width="30" customWidth="1" min="21" max="21"/>
    <col width="11" customWidth="1" min="22" max="22"/>
  </cols>
  <sheetData>
    <row r="1">
      <c r="A1" s="12" t="inlineStr">
        <is>
          <t>Scene #</t>
        </is>
      </c>
      <c r="B1" s="12" t="inlineStr">
        <is>
          <t>Scene Heading</t>
        </is>
      </c>
      <c r="C1" s="12" t="inlineStr">
        <is>
          <t>Int/Ext</t>
        </is>
      </c>
      <c r="D1" s="12" t="inlineStr">
        <is>
          <t>Day/Night</t>
        </is>
      </c>
      <c r="E1" s="12" t="inlineStr">
        <is>
          <t>Page Count</t>
        </is>
      </c>
      <c r="F1" s="12" t="inlineStr">
        <is>
          <t>Script Day</t>
        </is>
      </c>
      <c r="G1" s="13" t="inlineStr">
        <is>
          <t>Cast</t>
        </is>
      </c>
      <c r="H1" s="14" t="inlineStr">
        <is>
          <t>Extras / Background</t>
        </is>
      </c>
      <c r="I1" s="15" t="inlineStr">
        <is>
          <t>Props</t>
        </is>
      </c>
      <c r="J1" s="16" t="inlineStr">
        <is>
          <t>Practical FX</t>
        </is>
      </c>
      <c r="K1" s="17" t="inlineStr">
        <is>
          <t>Wardrobe</t>
        </is>
      </c>
      <c r="L1" s="18" t="inlineStr">
        <is>
          <t>Animals</t>
        </is>
      </c>
      <c r="M1" s="19" t="inlineStr">
        <is>
          <t>Vehicles / Picture Cars</t>
        </is>
      </c>
      <c r="N1" s="20" t="inlineStr">
        <is>
          <t>Special Makeup</t>
        </is>
      </c>
      <c r="O1" s="21" t="inlineStr">
        <is>
          <t>Special Camera</t>
        </is>
      </c>
      <c r="P1" s="22" t="inlineStr">
        <is>
          <t>Stunts</t>
        </is>
      </c>
      <c r="Q1" s="23" t="inlineStr">
        <is>
          <t>VFX</t>
        </is>
      </c>
      <c r="R1" s="12" t="inlineStr">
        <is>
          <t>Location Type</t>
        </is>
      </c>
      <c r="S1" s="12" t="inlineStr">
        <is>
          <t>Shooting Day</t>
        </is>
      </c>
      <c r="T1" s="12" t="inlineStr">
        <is>
          <t>Est. Shoot Hours</t>
        </is>
      </c>
      <c r="U1" s="12" t="inlineStr">
        <is>
          <t>Notes / Flags</t>
        </is>
      </c>
      <c r="V1" s="12" t="inlineStr">
        <is>
          <t>Script Page</t>
        </is>
      </c>
    </row>
    <row r="2" ht="45" customHeight="1">
      <c r="A2" s="24" t="inlineStr">
        <is>
          <t>1</t>
        </is>
      </c>
      <c r="B2" s="24" t="inlineStr">
        <is>
          <t>INT. THEATER. MANHATTAN. DAY</t>
        </is>
      </c>
      <c r="C2" s="24" t="inlineStr">
        <is>
          <t>INT</t>
        </is>
      </c>
      <c r="D2" s="24" t="inlineStr">
        <is>
          <t>DAY</t>
        </is>
      </c>
      <c r="E2" s="24" t="inlineStr">
        <is>
          <t>1/8</t>
        </is>
      </c>
      <c r="F2" s="24" t="inlineStr">
        <is>
          <t>Day 1</t>
        </is>
      </c>
      <c r="G2" s="24" t="inlineStr">
        <is>
          <t>Nicole</t>
        </is>
      </c>
      <c r="H2" s="24" t="n"/>
      <c r="I2" s="24" t="n"/>
      <c r="J2" s="24" t="n"/>
      <c r="K2" s="24" t="inlineStr">
        <is>
          <t>Nicole in spotlight — wardrobe detail unspecified</t>
        </is>
      </c>
      <c r="L2" s="24" t="n"/>
      <c r="M2" s="24" t="n"/>
      <c r="N2" s="24" t="n"/>
      <c r="O2" s="24" t="n"/>
      <c r="P2" s="24" t="n"/>
      <c r="Q2" s="24" t="n"/>
      <c r="R2" s="24" t="inlineStr">
        <is>
          <t>Practical</t>
        </is>
      </c>
      <c r="S2" s="25" t="inlineStr">
        <is>
          <t>[SCHEDULE]</t>
        </is>
      </c>
      <c r="T2" s="25" t="inlineStr">
        <is>
          <t>[SCHEDULE]</t>
        </is>
      </c>
      <c r="U2" s="24" t="inlineStr">
        <is>
          <t>Stage spotlight practical lighting required</t>
        </is>
      </c>
      <c r="V2" s="26" t="n">
        <v>2</v>
      </c>
    </row>
    <row r="3" ht="45" customHeight="1">
      <c r="A3" s="24" t="inlineStr">
        <is>
          <t>2</t>
        </is>
      </c>
      <c r="B3" s="24" t="inlineStr">
        <is>
          <t>EXT. FLATBUSH AVENUE, PARK SLOPE, BROOKLYN. DAY</t>
        </is>
      </c>
      <c r="C3" s="24" t="inlineStr">
        <is>
          <t>EXT</t>
        </is>
      </c>
      <c r="D3" s="24" t="inlineStr">
        <is>
          <t>DAY</t>
        </is>
      </c>
      <c r="E3" s="24" t="inlineStr">
        <is>
          <t>2/8</t>
        </is>
      </c>
      <c r="F3" s="24" t="inlineStr">
        <is>
          <t>Day 2</t>
        </is>
      </c>
      <c r="G3" s="24" t="inlineStr">
        <is>
          <t>Nicole
Solicitor</t>
        </is>
      </c>
      <c r="H3" s="24" t="n"/>
      <c r="I3" s="24" t="inlineStr">
        <is>
          <t>pen or writing instrument for phone number</t>
        </is>
      </c>
      <c r="J3" s="24" t="n"/>
      <c r="K3" s="24" t="inlineStr">
        <is>
          <t>Nicole contemporary casual street wardrobe</t>
        </is>
      </c>
      <c r="L3" s="24" t="n"/>
      <c r="M3" s="24" t="n"/>
      <c r="N3" s="24" t="n"/>
      <c r="O3" s="24" t="n"/>
      <c r="P3" s="24" t="n"/>
      <c r="Q3" s="24" t="n"/>
      <c r="R3" s="24" t="inlineStr">
        <is>
          <t>Practical</t>
        </is>
      </c>
      <c r="S3" s="25" t="inlineStr">
        <is>
          <t>[SCHEDULE]</t>
        </is>
      </c>
      <c r="T3" s="25" t="inlineStr">
        <is>
          <t>[SCHEDULE]</t>
        </is>
      </c>
      <c r="U3" s="24" t="inlineStr">
        <is>
          <t>EXT public space — location permit required
Subway exit practical location required</t>
        </is>
      </c>
      <c r="V3" s="26" t="n">
        <v>2</v>
      </c>
    </row>
    <row r="4" ht="45" customHeight="1">
      <c r="A4" s="24" t="inlineStr">
        <is>
          <t>3</t>
        </is>
      </c>
      <c r="B4" s="24" t="inlineStr">
        <is>
          <t>INT. CHARLIE AND NICOLE'S APARTMENT. DAY</t>
        </is>
      </c>
      <c r="C4" s="24" t="inlineStr">
        <is>
          <t>INT</t>
        </is>
      </c>
      <c r="D4" s="24" t="inlineStr">
        <is>
          <t>DAY</t>
        </is>
      </c>
      <c r="E4" s="24" t="inlineStr">
        <is>
          <t>2/8</t>
        </is>
      </c>
      <c r="F4" s="24" t="inlineStr">
        <is>
          <t>Day 3</t>
        </is>
      </c>
      <c r="G4" s="24" t="inlineStr">
        <is>
          <t>Charlie
Nicole</t>
        </is>
      </c>
      <c r="H4" s="24" t="n"/>
      <c r="I4" s="24" t="inlineStr">
        <is>
          <t>mobile phone — handled on camera by Nicole and Charlie</t>
        </is>
      </c>
      <c r="J4" s="24" t="n"/>
      <c r="K4" s="24" t="inlineStr">
        <is>
          <t>Charlie and Nicole contemporary casual home wardrobe</t>
        </is>
      </c>
      <c r="L4" s="24" t="n"/>
      <c r="M4" s="24" t="n"/>
      <c r="N4" s="24" t="n"/>
      <c r="O4" s="24" t="n"/>
      <c r="P4" s="24" t="n"/>
      <c r="Q4" s="24" t="n"/>
      <c r="R4" s="24" t="inlineStr">
        <is>
          <t>Practical</t>
        </is>
      </c>
      <c r="S4" s="25" t="inlineStr">
        <is>
          <t>[SCHEDULE]</t>
        </is>
      </c>
      <c r="T4" s="25" t="inlineStr">
        <is>
          <t>[SCHEDULE]</t>
        </is>
      </c>
      <c r="U4" s="24" t="inlineStr">
        <is>
          <t>Scripted physical contact — Nicole hands phone to Charlie</t>
        </is>
      </c>
      <c r="V4" s="26" t="n">
        <v>2</v>
      </c>
    </row>
    <row r="5" ht="45" customHeight="1">
      <c r="A5" s="24" t="inlineStr">
        <is>
          <t>4</t>
        </is>
      </c>
      <c r="B5" s="24" t="inlineStr">
        <is>
          <t>INT. CHARLIE AND NICOLE'S APARTMENT. ANOTHER DAY</t>
        </is>
      </c>
      <c r="C5" s="24" t="inlineStr">
        <is>
          <t>INT</t>
        </is>
      </c>
      <c r="D5" s="24" t="inlineStr">
        <is>
          <t>DAY</t>
        </is>
      </c>
      <c r="E5" s="24" t="inlineStr">
        <is>
          <t>3/8</t>
        </is>
      </c>
      <c r="F5" s="24" t="inlineStr">
        <is>
          <t>Day 4</t>
        </is>
      </c>
      <c r="G5" s="24" t="inlineStr">
        <is>
          <t>Nicole
Charlie
Henry</t>
        </is>
      </c>
      <c r="H5" s="24" t="n"/>
      <c r="I5" s="24" t="inlineStr">
        <is>
          <t>haircutting scissors — hero prop, handled on camera
broom — handled by Charlie and Henry on camera</t>
        </is>
      </c>
      <c r="J5" s="24" t="n"/>
      <c r="K5" s="24" t="inlineStr">
        <is>
          <t>Nicole, Charlie, Henry contemporary casual home wardrobe; Henry child wardrobe</t>
        </is>
      </c>
      <c r="L5" s="24" t="n"/>
      <c r="M5" s="24" t="n"/>
      <c r="N5" s="24" t="n"/>
      <c r="O5" s="24" t="n"/>
      <c r="P5" s="24" t="n"/>
      <c r="Q5" s="24" t="n"/>
      <c r="R5" s="24" t="inlineStr">
        <is>
          <t>Practical</t>
        </is>
      </c>
      <c r="S5" s="25" t="inlineStr">
        <is>
          <t>[SCHEDULE]</t>
        </is>
      </c>
      <c r="T5" s="25" t="inlineStr">
        <is>
          <t>[SCHEDULE]</t>
        </is>
      </c>
      <c r="U5" s="24" t="inlineStr">
        <is>
          <t>Child actor on set — Henry (8 years old) — welfare worker/teacher required
Scripted physical contact — Nicole cuts Charlie's and Henry's hair on camera</t>
        </is>
      </c>
      <c r="V5" s="26" t="n">
        <v>3</v>
      </c>
    </row>
    <row r="6" ht="45" customHeight="1">
      <c r="A6" s="24" t="inlineStr">
        <is>
          <t>5</t>
        </is>
      </c>
      <c r="B6" s="24" t="inlineStr">
        <is>
          <t>INT. CHARLIE AND NICOLE'S APARTMENT. SEVERAL DAYS</t>
        </is>
      </c>
      <c r="C6" s="24" t="inlineStr">
        <is>
          <t>INT</t>
        </is>
      </c>
      <c r="D6" s="24" t="inlineStr">
        <is>
          <t>DAY</t>
        </is>
      </c>
      <c r="E6" s="24" t="inlineStr">
        <is>
          <t>3/8</t>
        </is>
      </c>
      <c r="F6" s="24" t="inlineStr">
        <is>
          <t>Day 5</t>
        </is>
      </c>
      <c r="G6" s="24" t="inlineStr">
        <is>
          <t>Charlie</t>
        </is>
      </c>
      <c r="H6" s="24" t="n"/>
      <c r="I6" s="24" t="inlineStr">
        <is>
          <t>kettle — practical, switched on camera
mugs of tea — multiple hero set dressing/props
framed family photograph — Nicole, Sandra, Cassie with dog</t>
        </is>
      </c>
      <c r="J6" s="24" t="inlineStr">
        <is>
          <t>Steam from kettle — practical</t>
        </is>
      </c>
      <c r="K6" s="24" t="inlineStr">
        <is>
          <t>Charlie contemporary casual home wardrobe</t>
        </is>
      </c>
      <c r="L6" s="24" t="n"/>
      <c r="M6" s="24" t="n"/>
      <c r="N6" s="24" t="n"/>
      <c r="O6" s="24" t="n"/>
      <c r="P6" s="24" t="n"/>
      <c r="Q6" s="24" t="n"/>
      <c r="R6" s="24" t="inlineStr">
        <is>
          <t>Practical</t>
        </is>
      </c>
      <c r="S6" s="25" t="inlineStr">
        <is>
          <t>[SCHEDULE]</t>
        </is>
      </c>
      <c r="T6" s="25" t="inlineStr">
        <is>
          <t>[SCHEDULE]</t>
        </is>
      </c>
      <c r="U6" s="24" t="inlineStr">
        <is>
          <t>Practical kettle/steam effect on camera
Multiple mugs dressed across set in various locations — set decorator to dress window sills, bookshelves, toy shelf, floor</t>
        </is>
      </c>
      <c r="V6" s="26" t="n">
        <v>3</v>
      </c>
    </row>
    <row r="7" ht="45" customHeight="1">
      <c r="A7" s="24" t="inlineStr">
        <is>
          <t>6</t>
        </is>
      </c>
      <c r="B7" s="24" t="inlineStr">
        <is>
          <t>INT. CHARLIE AND NICOLE'S APARTMENT. ANOTHER DAY</t>
        </is>
      </c>
      <c r="C7" s="24" t="inlineStr">
        <is>
          <t>INT</t>
        </is>
      </c>
      <c r="D7" s="24" t="inlineStr">
        <is>
          <t>DAY</t>
        </is>
      </c>
      <c r="E7" s="24" t="inlineStr">
        <is>
          <t>2/8</t>
        </is>
      </c>
      <c r="F7" s="24" t="inlineStr">
        <is>
          <t>Day 6</t>
        </is>
      </c>
      <c r="G7" s="24" t="inlineStr">
        <is>
          <t>Charlie</t>
        </is>
      </c>
      <c r="H7" s="24" t="n"/>
      <c r="I7" s="24" t="inlineStr">
        <is>
          <t>wrapped present — ripped open on camera
trumpet — hero prop, gift, handled on camera</t>
        </is>
      </c>
      <c r="J7" s="24" t="n"/>
      <c r="K7" s="24" t="inlineStr">
        <is>
          <t>Charlie contemporary casual home wardrobe</t>
        </is>
      </c>
      <c r="L7" s="24" t="n"/>
      <c r="M7" s="24" t="n"/>
      <c r="N7" s="24" t="n"/>
      <c r="O7" s="24" t="n"/>
      <c r="P7" s="24" t="n"/>
      <c r="Q7" s="24" t="n"/>
      <c r="R7" s="24" t="inlineStr">
        <is>
          <t>Practical</t>
        </is>
      </c>
      <c r="S7" s="25" t="inlineStr">
        <is>
          <t>[SCHEDULE]</t>
        </is>
      </c>
      <c r="T7" s="25" t="inlineStr">
        <is>
          <t>[SCHEDULE]</t>
        </is>
      </c>
      <c r="U7" s="24" t="inlineStr">
        <is>
          <t>Trumpet must be period/style appropriate — hero prop</t>
        </is>
      </c>
      <c r="V7" s="26" t="n">
        <v>4</v>
      </c>
    </row>
    <row r="8" ht="45" customHeight="1">
      <c r="A8" s="24" t="inlineStr">
        <is>
          <t>7</t>
        </is>
      </c>
      <c r="B8" s="24" t="inlineStr">
        <is>
          <t>EXT. PROSPECT PARK, BROOKLYN. DAY</t>
        </is>
      </c>
      <c r="C8" s="24" t="inlineStr">
        <is>
          <t>EXT</t>
        </is>
      </c>
      <c r="D8" s="24" t="inlineStr">
        <is>
          <t>DAY</t>
        </is>
      </c>
      <c r="E8" s="24" t="inlineStr">
        <is>
          <t>2/8</t>
        </is>
      </c>
      <c r="F8" s="24" t="inlineStr">
        <is>
          <t>Day 7</t>
        </is>
      </c>
      <c r="G8" s="24" t="inlineStr">
        <is>
          <t>Nicole
Henry</t>
        </is>
      </c>
      <c r="H8" s="24" t="n"/>
      <c r="I8" s="24" t="inlineStr">
        <is>
          <t>Star Wars action figures — multiple, handled on camera by Nicole and Henry</t>
        </is>
      </c>
      <c r="J8" s="24" t="n"/>
      <c r="K8" s="24" t="inlineStr">
        <is>
          <t>Nicole and Henry contemporary casual outdoor wardrobe</t>
        </is>
      </c>
      <c r="L8" s="24" t="n"/>
      <c r="M8" s="24" t="n"/>
      <c r="N8" s="24" t="n"/>
      <c r="O8" s="24" t="n"/>
      <c r="P8" s="24" t="n"/>
      <c r="Q8" s="24" t="n"/>
      <c r="R8" s="24" t="inlineStr">
        <is>
          <t>Practical</t>
        </is>
      </c>
      <c r="S8" s="25" t="inlineStr">
        <is>
          <t>[SCHEDULE]</t>
        </is>
      </c>
      <c r="T8" s="25" t="inlineStr">
        <is>
          <t>[SCHEDULE]</t>
        </is>
      </c>
      <c r="U8" s="24" t="inlineStr">
        <is>
          <t>EXT public space — location permit required
Child actor on set — Henry (8 years old) — welfare worker/teacher required</t>
        </is>
      </c>
      <c r="V8" s="26" t="n">
        <v>4</v>
      </c>
    </row>
    <row r="9" ht="45" customHeight="1">
      <c r="A9" s="24" t="inlineStr">
        <is>
          <t>8</t>
        </is>
      </c>
      <c r="B9" s="24" t="inlineStr">
        <is>
          <t>INT. CHARLIE AND NICOLE'S APARTMENT. ANOTHER DAY</t>
        </is>
      </c>
      <c r="C9" s="24" t="inlineStr">
        <is>
          <t>INT</t>
        </is>
      </c>
      <c r="D9" s="24" t="inlineStr">
        <is>
          <t>DAY</t>
        </is>
      </c>
      <c r="E9" s="24" t="inlineStr">
        <is>
          <t>2/8</t>
        </is>
      </c>
      <c r="F9" s="24" t="inlineStr">
        <is>
          <t>Day 8</t>
        </is>
      </c>
      <c r="G9" s="24" t="inlineStr">
        <is>
          <t>Nicole
Charlie
Henry</t>
        </is>
      </c>
      <c r="H9" s="24" t="n"/>
      <c r="I9" s="24" t="inlineStr">
        <is>
          <t>Monopoly board game — full set, handled on camera</t>
        </is>
      </c>
      <c r="J9" s="24" t="n"/>
      <c r="K9" s="24" t="inlineStr">
        <is>
          <t>Nicole, Charlie, Henry contemporary casual home wardrobe</t>
        </is>
      </c>
      <c r="L9" s="24" t="n"/>
      <c r="M9" s="24" t="n"/>
      <c r="N9" s="24" t="n"/>
      <c r="O9" s="24" t="n"/>
      <c r="P9" s="24" t="n"/>
      <c r="Q9" s="24" t="n"/>
      <c r="R9" s="24" t="inlineStr">
        <is>
          <t>Practical</t>
        </is>
      </c>
      <c r="S9" s="25" t="inlineStr">
        <is>
          <t>[SCHEDULE]</t>
        </is>
      </c>
      <c r="T9" s="25" t="inlineStr">
        <is>
          <t>[SCHEDULE]</t>
        </is>
      </c>
      <c r="U9" s="24" t="inlineStr">
        <is>
          <t>Child actor on set — Henry (8 years old) — welfare worker/teacher required</t>
        </is>
      </c>
      <c r="V9" s="26" t="n">
        <v>4</v>
      </c>
    </row>
    <row r="10" ht="45" customHeight="1">
      <c r="A10" s="24" t="inlineStr">
        <is>
          <t>9</t>
        </is>
      </c>
      <c r="B10" s="24" t="inlineStr">
        <is>
          <t>INT. HENRY'S ROOM. ANOTHER NIGHT</t>
        </is>
      </c>
      <c r="C10" s="24" t="inlineStr">
        <is>
          <t>INT</t>
        </is>
      </c>
      <c r="D10" s="24" t="inlineStr">
        <is>
          <t>NIGHT</t>
        </is>
      </c>
      <c r="E10" s="24" t="inlineStr">
        <is>
          <t>1/8</t>
        </is>
      </c>
      <c r="F10" s="24" t="inlineStr">
        <is>
          <t>Day 9</t>
        </is>
      </c>
      <c r="G10" s="24" t="inlineStr">
        <is>
          <t>Nicole
Henry</t>
        </is>
      </c>
      <c r="H10" s="24" t="n"/>
      <c r="I10" s="24" t="inlineStr">
        <is>
          <t>children's book — handled on camera by Nicole</t>
        </is>
      </c>
      <c r="J10" s="24" t="n"/>
      <c r="K10" s="24" t="inlineStr">
        <is>
          <t>Nicole and Henry nighttime/bedtime wardrobe</t>
        </is>
      </c>
      <c r="L10" s="24" t="n"/>
      <c r="M10" s="24" t="n"/>
      <c r="N10" s="24" t="n"/>
      <c r="O10" s="24" t="n"/>
      <c r="P10" s="24" t="n"/>
      <c r="Q10" s="24" t="n"/>
      <c r="R10" s="24" t="inlineStr">
        <is>
          <t>Practical</t>
        </is>
      </c>
      <c r="S10" s="25" t="inlineStr">
        <is>
          <t>[SCHEDULE]</t>
        </is>
      </c>
      <c r="T10" s="25" t="inlineStr">
        <is>
          <t>[SCHEDULE]</t>
        </is>
      </c>
      <c r="U10" s="24" t="inlineStr">
        <is>
          <t>Child actor on set — Henry (8 years old) — welfare worker/teacher required
Night scene — night lighting package required</t>
        </is>
      </c>
      <c r="V10" s="26" t="n">
        <v>5</v>
      </c>
    </row>
    <row r="11" ht="45" customHeight="1">
      <c r="A11" s="24" t="inlineStr">
        <is>
          <t>10</t>
        </is>
      </c>
      <c r="B11" s="24" t="inlineStr">
        <is>
          <t>INT. THEATER. NIGHT</t>
        </is>
      </c>
      <c r="C11" s="24" t="inlineStr">
        <is>
          <t>INT</t>
        </is>
      </c>
      <c r="D11" s="24" t="inlineStr">
        <is>
          <t>NIGHT</t>
        </is>
      </c>
      <c r="E11" s="24" t="inlineStr">
        <is>
          <t>2/8</t>
        </is>
      </c>
      <c r="F11" s="24" t="inlineStr">
        <is>
          <t>Day 10</t>
        </is>
      </c>
      <c r="G11" s="24" t="inlineStr">
        <is>
          <t>Nicole</t>
        </is>
      </c>
      <c r="H11" s="24" t="inlineStr">
        <is>
          <t>8 — Theater cast party attendees — people dancing and socializing</t>
        </is>
      </c>
      <c r="I11" s="24" t="inlineStr">
        <is>
          <t>music playback device or sound system for song — practical</t>
        </is>
      </c>
      <c r="J11" s="24" t="n"/>
      <c r="K11" s="24" t="inlineStr">
        <is>
          <t>Nicole and background cast party wardrobe — contemporary</t>
        </is>
      </c>
      <c r="L11" s="24" t="n"/>
      <c r="M11" s="24" t="n"/>
      <c r="N11" s="24" t="n"/>
      <c r="O11" s="24" t="n"/>
      <c r="P11" s="24" t="n"/>
      <c r="Q11" s="24" t="n"/>
      <c r="R11" s="24" t="inlineStr">
        <is>
          <t>Practical</t>
        </is>
      </c>
      <c r="S11" s="25" t="inlineStr">
        <is>
          <t>[SCHEDULE]</t>
        </is>
      </c>
      <c r="T11" s="25" t="inlineStr">
        <is>
          <t>[SCHEDULE]</t>
        </is>
      </c>
      <c r="U11" s="24" t="inlineStr">
        <is>
          <t>Night scene — night lighting package required
Background extras required — cast party attendees dancing</t>
        </is>
      </c>
      <c r="V11" s="26" t="n">
        <v>5</v>
      </c>
    </row>
    <row r="12" ht="45" customHeight="1">
      <c r="A12" s="24" t="inlineStr">
        <is>
          <t>11</t>
        </is>
      </c>
      <c r="B12" s="24" t="inlineStr">
        <is>
          <t>INT. CHARLIE AND NICOLE'S KITCHEN. ANOTHER DAY</t>
        </is>
      </c>
      <c r="C12" s="24" t="inlineStr">
        <is>
          <t>INT</t>
        </is>
      </c>
      <c r="D12" s="24" t="inlineStr">
        <is>
          <t>DAY</t>
        </is>
      </c>
      <c r="E12" s="24" t="inlineStr">
        <is>
          <t>2/8</t>
        </is>
      </c>
      <c r="F12" s="24" t="inlineStr">
        <is>
          <t>Day 11</t>
        </is>
      </c>
      <c r="G12" s="24" t="inlineStr">
        <is>
          <t>Charlie</t>
        </is>
      </c>
      <c r="H12" s="24" t="n"/>
      <c r="I12" s="24" t="inlineStr">
        <is>
          <t>glass jar of pickles — hero prop, handled/knocked on camera
dish towel — handled on camera</t>
        </is>
      </c>
      <c r="J12" s="24" t="n"/>
      <c r="K12" s="24" t="inlineStr">
        <is>
          <t>Charlie contemporary casual kitchen wardrobe</t>
        </is>
      </c>
      <c r="L12" s="24" t="n"/>
      <c r="M12" s="24" t="n"/>
      <c r="N12" s="24" t="n"/>
      <c r="O12" s="24" t="n"/>
      <c r="P12" s="24" t="n"/>
      <c r="Q12" s="24" t="n"/>
      <c r="R12" s="24" t="inlineStr">
        <is>
          <t>Practical</t>
        </is>
      </c>
      <c r="S12" s="25" t="inlineStr">
        <is>
          <t>[SCHEDULE]</t>
        </is>
      </c>
      <c r="T12" s="25" t="inlineStr">
        <is>
          <t>[SCHEDULE]</t>
        </is>
      </c>
      <c r="U12" s="24" t="inlineStr">
        <is>
          <t>Charlie knocks jar on table on camera — confirm if breakaway required</t>
        </is>
      </c>
      <c r="V12" s="26" t="n">
        <v>5</v>
      </c>
    </row>
    <row r="13" ht="45" customHeight="1">
      <c r="A13" s="24" t="inlineStr">
        <is>
          <t>12</t>
        </is>
      </c>
      <c r="B13" s="24" t="inlineStr">
        <is>
          <t>INT. CHARLIE AND NICOLE'S APARTMENT. ANOTHER DAY</t>
        </is>
      </c>
      <c r="C13" s="24" t="inlineStr">
        <is>
          <t>INT</t>
        </is>
      </c>
      <c r="D13" s="24" t="inlineStr">
        <is>
          <t>DAY</t>
        </is>
      </c>
      <c r="E13" s="24" t="inlineStr">
        <is>
          <t>2/8</t>
        </is>
      </c>
      <c r="F13" s="24" t="inlineStr">
        <is>
          <t>Day 12</t>
        </is>
      </c>
      <c r="G13" s="24" t="inlineStr">
        <is>
          <t>Charlie</t>
        </is>
      </c>
      <c r="H13" s="24" t="n"/>
      <c r="I13" s="24" t="inlineStr">
        <is>
          <t>television set — practical, playing movie footage
in-movie footage of younger Nicole — pre-existing or specially shot</t>
        </is>
      </c>
      <c r="J13" s="24" t="n"/>
      <c r="K13" s="24" t="inlineStr">
        <is>
          <t>Charlie contemporary casual home wardrobe</t>
        </is>
      </c>
      <c r="L13" s="24" t="n"/>
      <c r="M13" s="24" t="n"/>
      <c r="N13" s="24" t="n"/>
      <c r="O13" s="24" t="n"/>
      <c r="P13" s="24" t="n"/>
      <c r="Q13" s="24" t="n"/>
      <c r="R13" s="24" t="inlineStr">
        <is>
          <t>Practical</t>
        </is>
      </c>
      <c r="S13" s="25" t="inlineStr">
        <is>
          <t>[SCHEDULE]</t>
        </is>
      </c>
      <c r="T13" s="25" t="inlineStr">
        <is>
          <t>[SCHEDULE]</t>
        </is>
      </c>
      <c r="U13" s="24" t="inlineStr">
        <is>
          <t>TV playback of fictional movie 'All Over The Girl' — may require specially shot or cleared footage
Fictional movie title — no clearance required</t>
        </is>
      </c>
      <c r="V13" s="26" t="n">
        <v>5</v>
      </c>
    </row>
    <row r="14" ht="45" customHeight="1">
      <c r="A14" s="24" t="inlineStr">
        <is>
          <t>13</t>
        </is>
      </c>
      <c r="B14" s="24" t="inlineStr">
        <is>
          <t>INT. THEATER. DAY</t>
        </is>
      </c>
      <c r="C14" s="24" t="inlineStr">
        <is>
          <t>INT</t>
        </is>
      </c>
      <c r="D14" s="24" t="inlineStr">
        <is>
          <t>DAY</t>
        </is>
      </c>
      <c r="E14" s="24" t="inlineStr">
        <is>
          <t>3/8</t>
        </is>
      </c>
      <c r="F14" s="24" t="inlineStr">
        <is>
          <t>Day 13</t>
        </is>
      </c>
      <c r="G14" s="24" t="inlineStr">
        <is>
          <t>Nicole
Charlie</t>
        </is>
      </c>
      <c r="H14" s="24" t="inlineStr">
        <is>
          <t>1 — Male actor in rehearsal — climbed on by Nicole as scripted physical action</t>
        </is>
      </c>
      <c r="I14" s="24" t="n"/>
      <c r="J14" s="24" t="n"/>
      <c r="K14" s="24" t="inlineStr">
        <is>
          <t>Nicole and Charlie rehearsal/theater wardrobe; male actor rehearsal wardrobe</t>
        </is>
      </c>
      <c r="L14" s="24" t="n"/>
      <c r="M14" s="24" t="n"/>
      <c r="N14" s="24" t="n"/>
      <c r="O14" s="24" t="n"/>
      <c r="P14" s="24" t="inlineStr">
        <is>
          <t>Nicole scales/climbs the body of a male actor — scripted physical contact requiring stunt coordinator assessment</t>
        </is>
      </c>
      <c r="Q14" s="24" t="n"/>
      <c r="R14" s="24" t="inlineStr">
        <is>
          <t>Practical</t>
        </is>
      </c>
      <c r="S14" s="25" t="inlineStr">
        <is>
          <t>[SCHEDULE]</t>
        </is>
      </c>
      <c r="T14" s="25" t="inlineStr">
        <is>
          <t>[SCHEDULE]</t>
        </is>
      </c>
      <c r="U14" s="24" t="inlineStr">
        <is>
          <t>Scripted physical contact — Nicole climbs male actor's body on camera — stunt coordinator required
Stage spotlight/theatrical lighting practical</t>
        </is>
      </c>
      <c r="V14" s="26" t="n">
        <v>6</v>
      </c>
    </row>
    <row r="15" ht="45" customHeight="1">
      <c r="A15" s="24" t="inlineStr">
        <is>
          <t>14</t>
        </is>
      </c>
      <c r="B15" s="24" t="inlineStr">
        <is>
          <t>INT. THEATER. SAME DAY</t>
        </is>
      </c>
      <c r="C15" s="24" t="inlineStr">
        <is>
          <t>INT</t>
        </is>
      </c>
      <c r="D15" s="24" t="inlineStr">
        <is>
          <t>DAY</t>
        </is>
      </c>
      <c r="E15" s="24" t="inlineStr">
        <is>
          <t>1/8</t>
        </is>
      </c>
      <c r="F15" s="24" t="inlineStr">
        <is>
          <t>Day 13</t>
        </is>
      </c>
      <c r="G15" s="24" t="inlineStr">
        <is>
          <t>Charlie</t>
        </is>
      </c>
      <c r="H15" s="24" t="n"/>
      <c r="I15" s="24" t="n"/>
      <c r="J15" s="24" t="n"/>
      <c r="K15" s="24" t="inlineStr">
        <is>
          <t>Charlie theater/director wardrobe — contemporary</t>
        </is>
      </c>
      <c r="L15" s="24" t="n"/>
      <c r="M15" s="24" t="n"/>
      <c r="N15" s="24" t="n"/>
      <c r="O15" s="24" t="n"/>
      <c r="P15" s="24" t="n"/>
      <c r="Q15" s="24" t="n"/>
      <c r="R15" s="24" t="inlineStr">
        <is>
          <t>Practical</t>
        </is>
      </c>
      <c r="S15" s="25" t="inlineStr">
        <is>
          <t>[SCHEDULE]</t>
        </is>
      </c>
      <c r="T15" s="25" t="inlineStr">
        <is>
          <t>[SCHEDULE]</t>
        </is>
      </c>
      <c r="U15" s="24" t="n"/>
      <c r="V15" s="26" t="n">
        <v>6</v>
      </c>
    </row>
    <row r="16" ht="45" customHeight="1">
      <c r="A16" s="24" t="inlineStr">
        <is>
          <t>15</t>
        </is>
      </c>
      <c r="B16" s="24" t="inlineStr">
        <is>
          <t>INT. PIZZERIA, PARK SLOPE, BROOKLYN. DAY</t>
        </is>
      </c>
      <c r="C16" s="24" t="inlineStr">
        <is>
          <t>INT</t>
        </is>
      </c>
      <c r="D16" s="24" t="inlineStr">
        <is>
          <t>DAY</t>
        </is>
      </c>
      <c r="E16" s="24" t="inlineStr">
        <is>
          <t>2/8</t>
        </is>
      </c>
      <c r="F16" s="24" t="inlineStr">
        <is>
          <t>Day 14</t>
        </is>
      </c>
      <c r="G16" s="24" t="inlineStr">
        <is>
          <t>Charlie
Henry</t>
        </is>
      </c>
      <c r="H16" s="24" t="n"/>
      <c r="I16" s="24" t="inlineStr">
        <is>
          <t>pizza slices — food prop, handled and consumed on camera
Henry's sweater — clothing adjusted/removed on camera</t>
        </is>
      </c>
      <c r="J16" s="24" t="n"/>
      <c r="K16" s="24" t="inlineStr">
        <is>
          <t>Charlie and Henry casual contemporary wardrobe; Henry's sweater reversed on camera — continuity note</t>
        </is>
      </c>
      <c r="L16" s="24" t="n"/>
      <c r="M16" s="24" t="n"/>
      <c r="N16" s="24" t="n"/>
      <c r="O16" s="24" t="n"/>
      <c r="P16" s="24" t="n"/>
      <c r="Q16" s="24" t="n"/>
      <c r="R16" s="24" t="inlineStr">
        <is>
          <t>Practical</t>
        </is>
      </c>
      <c r="S16" s="25" t="inlineStr">
        <is>
          <t>[SCHEDULE]</t>
        </is>
      </c>
      <c r="T16" s="25" t="inlineStr">
        <is>
          <t>[SCHEDULE]</t>
        </is>
      </c>
      <c r="U16" s="24" t="inlineStr">
        <is>
          <t>Child actor on set — Henry (8 years old) — welfare worker/teacher required
Food continuity — pizza consumed across takes
Scripted physical contact — Charlie lifts Henry's sweater off and adjusts it on camera</t>
        </is>
      </c>
      <c r="V16" s="26" t="n">
        <v>6</v>
      </c>
    </row>
    <row r="17" ht="45" customHeight="1">
      <c r="A17" s="24" t="inlineStr">
        <is>
          <t>16</t>
        </is>
      </c>
      <c r="B17" s="24" t="inlineStr">
        <is>
          <t>INT. CHARLIE AND NICOLE'S APARTMENT. LATE DAY</t>
        </is>
      </c>
      <c r="C17" s="24" t="inlineStr">
        <is>
          <t>INT</t>
        </is>
      </c>
      <c r="D17" s="24" t="inlineStr">
        <is>
          <t>DAY</t>
        </is>
      </c>
      <c r="E17" s="24" t="inlineStr">
        <is>
          <t>1/8</t>
        </is>
      </c>
      <c r="F17" s="24" t="inlineStr">
        <is>
          <t>Day 15</t>
        </is>
      </c>
      <c r="G17" s="24" t="inlineStr">
        <is>
          <t>Nicole
Charlie</t>
        </is>
      </c>
      <c r="H17" s="24" t="n"/>
      <c r="I17" s="24" t="inlineStr">
        <is>
          <t>light switch — practical, switched on/off on camera</t>
        </is>
      </c>
      <c r="J17" s="24" t="n"/>
      <c r="K17" s="24" t="inlineStr">
        <is>
          <t>Nicole and Charlie contemporary casual home wardrobe</t>
        </is>
      </c>
      <c r="L17" s="24" t="n"/>
      <c r="M17" s="24" t="n"/>
      <c r="N17" s="24" t="n"/>
      <c r="O17" s="24" t="n"/>
      <c r="P17" s="24" t="n"/>
      <c r="Q17" s="24" t="n"/>
      <c r="R17" s="24" t="inlineStr">
        <is>
          <t>Practical</t>
        </is>
      </c>
      <c r="S17" s="25" t="inlineStr">
        <is>
          <t>[SCHEDULE]</t>
        </is>
      </c>
      <c r="T17" s="25" t="inlineStr">
        <is>
          <t>[SCHEDULE]</t>
        </is>
      </c>
      <c r="U17" s="24" t="inlineStr">
        <is>
          <t>Practical lights going out and back on — electrical rigging/practical lighting coordination required</t>
        </is>
      </c>
      <c r="V17" s="26" t="n">
        <v>6</v>
      </c>
    </row>
    <row r="18" ht="45" customHeight="1">
      <c r="A18" s="24" t="inlineStr">
        <is>
          <t>17</t>
        </is>
      </c>
      <c r="B18" s="24" t="inlineStr">
        <is>
          <t>EXT. MOVIE THEATER. DAY</t>
        </is>
      </c>
      <c r="C18" s="24" t="inlineStr">
        <is>
          <t>EXT</t>
        </is>
      </c>
      <c r="D18" s="24" t="inlineStr">
        <is>
          <t>DAY</t>
        </is>
      </c>
      <c r="E18" s="24" t="inlineStr">
        <is>
          <t>2/8</t>
        </is>
      </c>
      <c r="F18" s="24" t="inlineStr">
        <is>
          <t>Day 16</t>
        </is>
      </c>
      <c r="G18" s="24" t="inlineStr">
        <is>
          <t>Charlie
Henry</t>
        </is>
      </c>
      <c r="H18" s="24" t="n"/>
      <c r="I18" s="24" t="n"/>
      <c r="J18" s="24" t="n"/>
      <c r="K18" s="24" t="inlineStr">
        <is>
          <t>Charlie and Henry contemporary casual outdoor wardrobe; both crying — continuity makeup</t>
        </is>
      </c>
      <c r="L18" s="24" t="n"/>
      <c r="M18" s="24" t="n"/>
      <c r="N18" s="24" t="inlineStr">
        <is>
          <t>Charlie weeping/crying on camera
Henry weeping/crying on camera</t>
        </is>
      </c>
      <c r="O18" s="24" t="n"/>
      <c r="P18" s="24" t="n"/>
      <c r="Q18" s="24" t="n"/>
      <c r="R18" s="24" t="inlineStr">
        <is>
          <t>Practical</t>
        </is>
      </c>
      <c r="S18" s="25" t="inlineStr">
        <is>
          <t>[SCHEDULE]</t>
        </is>
      </c>
      <c r="T18" s="25" t="inlineStr">
        <is>
          <t>[SCHEDULE]</t>
        </is>
      </c>
      <c r="U18" s="24" t="inlineStr">
        <is>
          <t>EXT public space — location permit required
Child actor on set — Henry (8 years old) — welfare worker/teacher required
Continuity makeup required — tears for both Charlie and Henry across takes</t>
        </is>
      </c>
      <c r="V18" s="26" t="n">
        <v>7</v>
      </c>
    </row>
    <row r="19" ht="45" customHeight="1">
      <c r="A19" s="24" t="inlineStr">
        <is>
          <t>18</t>
        </is>
      </c>
      <c r="B19" s="24" t="inlineStr">
        <is>
          <t>INT. CHARLIE AND NICOLE'S KITCHEN. EVE</t>
        </is>
      </c>
      <c r="C19" s="24" t="inlineStr">
        <is>
          <t>INT</t>
        </is>
      </c>
      <c r="D19" s="24" t="inlineStr">
        <is>
          <t>DAY</t>
        </is>
      </c>
      <c r="E19" s="24" t="inlineStr">
        <is>
          <t>3/8</t>
        </is>
      </c>
      <c r="F19" s="24" t="inlineStr">
        <is>
          <t>Day 17</t>
        </is>
      </c>
      <c r="G19" s="24" t="inlineStr">
        <is>
          <t>Charlie
Henry</t>
        </is>
      </c>
      <c r="H19" s="24" t="n"/>
      <c r="I19" s="24" t="inlineStr">
        <is>
          <t>cooking pots — multiple, practical, on stove on camera
knife — handled on camera by Henry
peppers — food prop, cut on camera</t>
        </is>
      </c>
      <c r="J19" s="24" t="inlineStr">
        <is>
          <t>Steam from cooking pots — practical</t>
        </is>
      </c>
      <c r="K19" s="24" t="inlineStr">
        <is>
          <t>Charlie and Henry casual contemporary kitchen wardrobe</t>
        </is>
      </c>
      <c r="L19" s="24" t="n"/>
      <c r="M19" s="24" t="n"/>
      <c r="N19" s="24" t="n"/>
      <c r="O19" s="24" t="n"/>
      <c r="P19" s="24" t="n"/>
      <c r="Q19" s="24" t="n"/>
      <c r="R19" s="24" t="inlineStr">
        <is>
          <t>Practical</t>
        </is>
      </c>
      <c r="S19" s="25" t="inlineStr">
        <is>
          <t>[SCHEDULE]</t>
        </is>
      </c>
      <c r="T19" s="25" t="inlineStr">
        <is>
          <t>[SCHEDULE]</t>
        </is>
      </c>
      <c r="U19" s="24" t="inlineStr">
        <is>
          <t>Child actor on set — Henry (8 years old) — welfare worker/teacher required
Child holding knife on camera — safety assessment required
Practical cooking steam on camera — continuity across takes</t>
        </is>
      </c>
      <c r="V19" s="26" t="n">
        <v>7</v>
      </c>
    </row>
    <row r="20" ht="45" customHeight="1">
      <c r="A20" s="24" t="inlineStr">
        <is>
          <t>19</t>
        </is>
      </c>
      <c r="B20" s="24" t="inlineStr">
        <is>
          <t>INT. CHARLIE AND NICOLE'S APARTMENT. ANOTHER DAY</t>
        </is>
      </c>
      <c r="C20" s="24" t="inlineStr">
        <is>
          <t>INT</t>
        </is>
      </c>
      <c r="D20" s="24" t="inlineStr">
        <is>
          <t>DAY</t>
        </is>
      </c>
      <c r="E20" s="24" t="inlineStr">
        <is>
          <t>1/8</t>
        </is>
      </c>
      <c r="F20" s="24" t="inlineStr">
        <is>
          <t>Day 18</t>
        </is>
      </c>
      <c r="G20" s="24" t="inlineStr">
        <is>
          <t>Nicole</t>
        </is>
      </c>
      <c r="H20" s="24" t="n"/>
      <c r="I20" s="24" t="n"/>
      <c r="J20" s="24" t="n"/>
      <c r="K20" s="24" t="inlineStr">
        <is>
          <t>Nicole contemporary casual home wardrobe</t>
        </is>
      </c>
      <c r="L20" s="24" t="n"/>
      <c r="M20" s="24" t="n"/>
      <c r="N20" s="24" t="n"/>
      <c r="O20" s="24" t="n"/>
      <c r="P20" s="24" t="n"/>
      <c r="Q20" s="24" t="n"/>
      <c r="R20" s="24" t="inlineStr">
        <is>
          <t>Practical</t>
        </is>
      </c>
      <c r="S20" s="25" t="inlineStr">
        <is>
          <t>[SCHEDULE]</t>
        </is>
      </c>
      <c r="T20" s="25" t="inlineStr">
        <is>
          <t>[SCHEDULE]</t>
        </is>
      </c>
      <c r="U20" s="24" t="n"/>
      <c r="V20" s="26" t="n">
        <v>7</v>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1100.01</t>
        </is>
      </c>
      <c r="B2" s="28" t="inlineStr">
        <is>
          <t>Story option / rights acquisition</t>
        </is>
      </c>
      <c r="C2" s="27" t="inlineStr">
        <is>
          <t>[DEAL]</t>
        </is>
      </c>
      <c r="D2" s="29" t="n"/>
      <c r="E2" s="29" t="n"/>
      <c r="F2" s="29" t="n"/>
      <c r="G2" s="29" t="n"/>
      <c r="H2" s="29" t="n"/>
      <c r="I2" s="29" t="n"/>
      <c r="J2" s="29" t="n"/>
      <c r="K2" s="29" t="n"/>
      <c r="L2" s="29" t="n"/>
      <c r="M2" s="29" t="n"/>
      <c r="N2" s="29" t="n"/>
      <c r="O2" s="30" t="inlineStr">
        <is>
          <t>DEAL</t>
        </is>
      </c>
    </row>
    <row r="3">
      <c r="A3" s="27" t="inlineStr">
        <is>
          <t>1100.02</t>
        </is>
      </c>
      <c r="B3" s="28" t="inlineStr">
        <is>
          <t>Screenplay development fee</t>
        </is>
      </c>
      <c r="C3" s="27" t="inlineStr">
        <is>
          <t>[DEAL]</t>
        </is>
      </c>
      <c r="D3" s="29" t="n"/>
      <c r="E3" s="29" t="n"/>
      <c r="F3" s="29" t="n"/>
      <c r="G3" s="29" t="n"/>
      <c r="H3" s="29" t="n"/>
      <c r="I3" s="29" t="n"/>
      <c r="J3" s="29" t="n"/>
      <c r="K3" s="29" t="n"/>
      <c r="L3" s="29" t="n"/>
      <c r="M3" s="29" t="n"/>
      <c r="N3" s="29" t="n"/>
      <c r="O3" s="30" t="inlineStr">
        <is>
          <t>DEAL</t>
        </is>
      </c>
    </row>
    <row r="4">
      <c r="A4" s="27" t="inlineStr">
        <is>
          <t>1100.03</t>
        </is>
      </c>
      <c r="B4" s="28" t="inlineStr">
        <is>
          <t>Development legal</t>
        </is>
      </c>
      <c r="C4" s="27" t="inlineStr">
        <is>
          <t>[DEAL]</t>
        </is>
      </c>
      <c r="D4" s="29" t="n"/>
      <c r="E4" s="29" t="n"/>
      <c r="F4" s="29" t="n"/>
      <c r="G4" s="29" t="n"/>
      <c r="H4" s="29" t="n"/>
      <c r="I4" s="29" t="n"/>
      <c r="J4" s="29" t="n"/>
      <c r="K4" s="29" t="n"/>
      <c r="L4" s="29" t="n"/>
      <c r="M4" s="29" t="n"/>
      <c r="N4" s="29" t="n"/>
      <c r="O4" s="30" t="inlineStr">
        <is>
          <t>DEAL</t>
        </is>
      </c>
    </row>
    <row r="5">
      <c r="A5" s="27" t="inlineStr">
        <is>
          <t>1100.04</t>
        </is>
      </c>
      <c r="B5" s="28" t="inlineStr">
        <is>
          <t>Development overhead</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1200.01</t>
        </is>
      </c>
      <c r="B2" s="28" t="inlineStr">
        <is>
          <t>Story rights purchase</t>
        </is>
      </c>
      <c r="C2" s="27" t="inlineStr">
        <is>
          <t>[DEAL]</t>
        </is>
      </c>
      <c r="D2" s="29" t="n"/>
      <c r="E2" s="29" t="n"/>
      <c r="F2" s="29" t="n"/>
      <c r="G2" s="29" t="n"/>
      <c r="H2" s="29" t="n"/>
      <c r="I2" s="29" t="n"/>
      <c r="J2" s="29" t="n"/>
      <c r="K2" s="29" t="n"/>
      <c r="L2" s="29" t="n"/>
      <c r="M2" s="29" t="n"/>
      <c r="N2" s="29" t="n"/>
      <c r="O2" s="30" t="inlineStr">
        <is>
          <t>DEAL</t>
        </is>
      </c>
    </row>
    <row r="3">
      <c r="A3" s="27" t="inlineStr">
        <is>
          <t>1200.02</t>
        </is>
      </c>
      <c r="B3" s="28" t="inlineStr">
        <is>
          <t>Writer fee</t>
        </is>
      </c>
      <c r="C3" s="27" t="inlineStr">
        <is>
          <t>[DEAL]</t>
        </is>
      </c>
      <c r="D3" s="29" t="n"/>
      <c r="E3" s="29" t="n"/>
      <c r="F3" s="29" t="n"/>
      <c r="G3" s="29" t="n"/>
      <c r="H3" s="29" t="n"/>
      <c r="I3" s="29" t="n"/>
      <c r="J3" s="29" t="n"/>
      <c r="K3" s="29" t="n"/>
      <c r="L3" s="29" t="n"/>
      <c r="M3" s="29" t="n"/>
      <c r="N3" s="29" t="n"/>
      <c r="O3" s="30" t="inlineStr">
        <is>
          <t>DEAL</t>
        </is>
      </c>
    </row>
    <row r="4">
      <c r="A4" s="27" t="inlineStr">
        <is>
          <t>1200.03</t>
        </is>
      </c>
      <c r="B4" s="28" t="inlineStr">
        <is>
          <t>Continuity / breakdown</t>
        </is>
      </c>
      <c r="C4" s="27" t="inlineStr">
        <is>
          <t>[DEAL]</t>
        </is>
      </c>
      <c r="D4" s="29" t="n"/>
      <c r="E4" s="29" t="n"/>
      <c r="F4" s="29" t="n"/>
      <c r="G4" s="29" t="n"/>
      <c r="H4" s="29" t="n"/>
      <c r="I4" s="29" t="n"/>
      <c r="J4" s="29" t="n"/>
      <c r="K4" s="29" t="n"/>
      <c r="L4" s="29" t="n"/>
      <c r="M4" s="29" t="n"/>
      <c r="N4" s="29" t="n"/>
      <c r="O4" s="30" t="inlineStr">
        <is>
          <t>DEAL</t>
        </is>
      </c>
    </row>
    <row r="5">
      <c r="A5" s="27" t="inlineStr">
        <is>
          <t>1200.04</t>
        </is>
      </c>
      <c r="B5" s="28" t="inlineStr">
        <is>
          <t>Script duplication</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1400.01</t>
        </is>
      </c>
      <c r="B2" s="28" t="inlineStr">
        <is>
          <t>Executive Producer fee</t>
        </is>
      </c>
      <c r="C2" s="27" t="inlineStr">
        <is>
          <t>[DEAL]</t>
        </is>
      </c>
      <c r="D2" s="29" t="n"/>
      <c r="E2" s="29" t="n"/>
      <c r="F2" s="29" t="n"/>
      <c r="G2" s="29" t="n"/>
      <c r="H2" s="29" t="n"/>
      <c r="I2" s="29" t="n"/>
      <c r="J2" s="29" t="n"/>
      <c r="K2" s="29" t="n"/>
      <c r="L2" s="29" t="n"/>
      <c r="M2" s="29" t="n"/>
      <c r="N2" s="29" t="n"/>
      <c r="O2" s="30" t="inlineStr">
        <is>
          <t>DEAL</t>
        </is>
      </c>
    </row>
    <row r="3">
      <c r="A3" s="27" t="inlineStr">
        <is>
          <t>1400.02</t>
        </is>
      </c>
      <c r="B3" s="28" t="inlineStr">
        <is>
          <t>Producer fee</t>
        </is>
      </c>
      <c r="C3" s="27" t="inlineStr">
        <is>
          <t>[DEAL]</t>
        </is>
      </c>
      <c r="D3" s="29" t="n"/>
      <c r="E3" s="29" t="n"/>
      <c r="F3" s="29" t="n"/>
      <c r="G3" s="29" t="n"/>
      <c r="H3" s="29" t="n"/>
      <c r="I3" s="29" t="n"/>
      <c r="J3" s="29" t="n"/>
      <c r="K3" s="29" t="n"/>
      <c r="L3" s="29" t="n"/>
      <c r="M3" s="29" t="n"/>
      <c r="N3" s="29" t="n"/>
      <c r="O3" s="30" t="inlineStr">
        <is>
          <t>DEAL</t>
        </is>
      </c>
    </row>
    <row r="4">
      <c r="A4" s="27" t="inlineStr">
        <is>
          <t>1400.03</t>
        </is>
      </c>
      <c r="B4" s="28" t="inlineStr">
        <is>
          <t>Line Producer fee</t>
        </is>
      </c>
      <c r="C4" s="27" t="inlineStr">
        <is>
          <t>[DEAL]</t>
        </is>
      </c>
      <c r="D4" s="29" t="n"/>
      <c r="E4" s="29" t="n"/>
      <c r="F4" s="29" t="n"/>
      <c r="G4" s="29" t="n"/>
      <c r="H4" s="29" t="n"/>
      <c r="I4" s="29" t="n"/>
      <c r="J4" s="29" t="n"/>
      <c r="K4" s="29" t="n"/>
      <c r="L4" s="29" t="n"/>
      <c r="M4" s="29" t="n"/>
      <c r="N4" s="29" t="n"/>
      <c r="O4" s="30" t="inlineStr">
        <is>
          <t>DEAL</t>
        </is>
      </c>
    </row>
    <row r="5">
      <c r="A5" s="27" t="inlineStr">
        <is>
          <t>1400.04</t>
        </is>
      </c>
      <c r="B5" s="28" t="inlineStr">
        <is>
          <t>Producer assistant(s)</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1500.01</t>
        </is>
      </c>
      <c r="B2" s="28" t="inlineStr">
        <is>
          <t>Director fee</t>
        </is>
      </c>
      <c r="C2" s="27" t="inlineStr">
        <is>
          <t>[DEAL]</t>
        </is>
      </c>
      <c r="D2" s="29" t="n"/>
      <c r="E2" s="29" t="n"/>
      <c r="F2" s="29" t="n"/>
      <c r="G2" s="29" t="n"/>
      <c r="H2" s="29" t="n"/>
      <c r="I2" s="29" t="n"/>
      <c r="J2" s="29" t="n"/>
      <c r="K2" s="29" t="n"/>
      <c r="L2" s="29" t="n"/>
      <c r="M2" s="29" t="n"/>
      <c r="N2" s="29" t="n"/>
      <c r="O2" s="30" t="inlineStr">
        <is>
          <t>DEAL</t>
        </is>
      </c>
    </row>
    <row r="3">
      <c r="A3" s="27" t="inlineStr">
        <is>
          <t>1500.02</t>
        </is>
      </c>
      <c r="B3" s="28" t="inlineStr">
        <is>
          <t>Director assistant</t>
        </is>
      </c>
      <c r="C3" s="27" t="inlineStr">
        <is>
          <t>[DEAL]</t>
        </is>
      </c>
      <c r="D3" s="29" t="n"/>
      <c r="E3" s="29" t="n"/>
      <c r="F3" s="29" t="n"/>
      <c r="G3" s="29" t="n"/>
      <c r="H3" s="29" t="n"/>
      <c r="I3" s="29" t="n"/>
      <c r="J3" s="29" t="n"/>
      <c r="K3" s="29" t="n"/>
      <c r="L3" s="29" t="n"/>
      <c r="M3" s="29" t="n"/>
      <c r="N3" s="29" t="n"/>
      <c r="O3" s="30" t="inlineStr">
        <is>
          <t>DEAL</t>
        </is>
      </c>
    </row>
    <row r="4">
      <c r="A4" s="27" t="inlineStr">
        <is>
          <t>1500.03</t>
        </is>
      </c>
      <c r="B4" s="28" t="inlineStr">
        <is>
          <t>Storyboard artist</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1600.01</t>
        </is>
      </c>
      <c r="B2" s="24" t="inlineStr">
        <is>
          <t>Nicole — principal cast</t>
        </is>
      </c>
      <c r="C2" s="5" t="n">
        <v>18</v>
      </c>
      <c r="D2" s="5" t="inlineStr">
        <is>
          <t>Days</t>
        </is>
      </c>
      <c r="E2" s="31" t="n"/>
      <c r="F2" s="6">
        <f>IFERROR(C2*D2*E2,"")</f>
        <v/>
      </c>
      <c r="H2" s="6">
        <f>IFERROR(F2+(F2*G2),"")</f>
        <v/>
      </c>
      <c r="K2" s="32" t="n">
        <v>2</v>
      </c>
      <c r="L2" s="33" t="inlineStr">
        <is>
          <t>Nicole, early 30's, appears out of the dark.</t>
        </is>
      </c>
      <c r="M2" s="24" t="inlineStr">
        <is>
          <t>Appears in scenes 1, 2, 3, 4, 5, 7, 8, 9, 10, 11 (implied), 12 (implied), 13, 15 (implied), 16, 17 (implied), 18 (implied), 19. Amount reflects scene count as proxy for shooting days. Day rate to be filled by Line Producer.</t>
        </is>
      </c>
      <c r="N2" s="34" t="inlineStr">
        <is>
          <t>High</t>
        </is>
      </c>
      <c r="O2" s="35" t="inlineStr">
        <is>
          <t>SCRIPT</t>
        </is>
      </c>
    </row>
    <row r="3">
      <c r="A3" s="5" t="inlineStr">
        <is>
          <t>1600.02</t>
        </is>
      </c>
      <c r="B3" s="24" t="inlineStr">
        <is>
          <t>Charlie — principal cast</t>
        </is>
      </c>
      <c r="C3" s="5" t="n">
        <v>17</v>
      </c>
      <c r="D3" s="5" t="inlineStr">
        <is>
          <t>Days</t>
        </is>
      </c>
      <c r="E3" s="31" t="n"/>
      <c r="F3" s="6">
        <f>IFERROR(C3*D3*E3,"")</f>
        <v/>
      </c>
      <c r="H3" s="6">
        <f>IFERROR(F3+(F3*G3),"")</f>
        <v/>
      </c>
      <c r="K3" s="32" t="n">
        <v>2</v>
      </c>
      <c r="L3" s="33" t="inlineStr">
        <is>
          <t>CLOSE on Charlie, early 30's, in deep thought.</t>
        </is>
      </c>
      <c r="M3" s="24" t="inlineStr">
        <is>
          <t>Appears in scenes 3, 4, 5, 6, 8, 10 (implied), 11, 12, 13, 14, 15, 16, 17, 18, 19. Also provides V.O. throughout opening montage. Amount reflects scene count as proxy for shooting days. Day rate to be filled by Line Producer.</t>
        </is>
      </c>
      <c r="N3" s="34" t="inlineStr">
        <is>
          <t>High</t>
        </is>
      </c>
      <c r="O3" s="35" t="inlineStr">
        <is>
          <t>SCRIPT</t>
        </is>
      </c>
    </row>
    <row r="4">
      <c r="A4" s="5" t="inlineStr">
        <is>
          <t>1600.03</t>
        </is>
      </c>
      <c r="B4" s="24" t="inlineStr">
        <is>
          <t>Henry — principal cast, child actor (age 8)</t>
        </is>
      </c>
      <c r="C4" s="5" t="n">
        <v>8</v>
      </c>
      <c r="D4" s="5" t="inlineStr">
        <is>
          <t>Days</t>
        </is>
      </c>
      <c r="E4" s="31" t="n"/>
      <c r="F4" s="6">
        <f>IFERROR(C4*D4*E4,"")</f>
        <v/>
      </c>
      <c r="H4" s="6">
        <f>IFERROR(F4+(F4*G4),"")</f>
        <v/>
      </c>
      <c r="K4" s="32" t="n">
        <v>3</v>
      </c>
      <c r="L4" s="33" t="inlineStr">
        <is>
          <t>She cuts their son, (8 years old) Henry's hair.</t>
        </is>
      </c>
      <c r="M4" s="24" t="inlineStr">
        <is>
          <t>Appears in scenes 4, 7, 8, 9, 15, 17, 18. Child actor — welfare worker/on-set teacher legally required for all days. Amount reflects scene count as proxy for shooting days. Day rate to be filled by Line Producer.</t>
        </is>
      </c>
      <c r="N4" s="34" t="inlineStr">
        <is>
          <t>High</t>
        </is>
      </c>
      <c r="O4" s="35" t="inlineStr">
        <is>
          <t>SCRIPT</t>
        </is>
      </c>
    </row>
    <row r="5">
      <c r="A5" s="5" t="inlineStr">
        <is>
          <t>1600.04</t>
        </is>
      </c>
      <c r="B5" s="24" t="inlineStr">
        <is>
          <t>Solicitor — day player, speaking role</t>
        </is>
      </c>
      <c r="C5" s="5" t="n">
        <v>1</v>
      </c>
      <c r="D5" s="5" t="inlineStr">
        <is>
          <t>Days</t>
        </is>
      </c>
      <c r="E5" s="31" t="n"/>
      <c r="F5" s="6">
        <f>IFERROR(C5*D5*E5,"")</f>
        <v/>
      </c>
      <c r="H5" s="6">
        <f>IFERROR(F5+(F5*G5),"")</f>
        <v/>
      </c>
      <c r="K5" s="32" t="n">
        <v>2</v>
      </c>
      <c r="L5" s="33" t="inlineStr">
        <is>
          <t>A young 'funny' ASPCA solicitor stops her.</t>
        </is>
      </c>
      <c r="M5" s="24" t="inlineStr">
        <is>
          <t>Single scene — EXT. Flatbush Avenue. Has scripted dialogue. Day rate to be filled by Line Producer.</t>
        </is>
      </c>
      <c r="N5" s="34" t="inlineStr">
        <is>
          <t>High</t>
        </is>
      </c>
      <c r="O5" s="35" t="inlineStr">
        <is>
          <t>SCRIPT</t>
        </is>
      </c>
    </row>
    <row r="6">
      <c r="A6" s="5" t="inlineStr">
        <is>
          <t>1600.05</t>
        </is>
      </c>
      <c r="B6" s="24" t="inlineStr">
        <is>
          <t>On-set welfare worker / child guardian — Henry</t>
        </is>
      </c>
      <c r="C6" s="5" t="n">
        <v>8</v>
      </c>
      <c r="D6" s="5" t="inlineStr">
        <is>
          <t>Days</t>
        </is>
      </c>
      <c r="E6" s="31" t="n"/>
      <c r="F6" s="6">
        <f>IFERROR(C6*D6*E6,"")</f>
        <v/>
      </c>
      <c r="H6" s="6">
        <f>IFERROR(F6+(F6*G6),"")</f>
        <v/>
      </c>
      <c r="K6" s="32" t="n">
        <v>3</v>
      </c>
      <c r="L6" s="33" t="inlineStr">
        <is>
          <t>She cuts their son, (8 years old) Henry's hair.</t>
        </is>
      </c>
      <c r="M6" s="24" t="inlineStr">
        <is>
          <t>Child actor (age 8) on set. Licensed welfare worker/on-set teacher legally required on all days Henry works. Amount reflects estimated days matching Henry's scene count. Rate to be filled by Line Producer.</t>
        </is>
      </c>
      <c r="N6" s="34" t="inlineStr">
        <is>
          <t>High</t>
        </is>
      </c>
      <c r="O6" s="35" t="inlineStr">
        <is>
          <t>SCRIPT</t>
        </is>
      </c>
    </row>
    <row r="7">
      <c r="A7" s="27" t="inlineStr">
        <is>
          <t>1600.06</t>
        </is>
      </c>
      <c r="B7" s="28" t="inlineStr">
        <is>
          <t>Casting Director</t>
        </is>
      </c>
      <c r="C7" s="27" t="inlineStr">
        <is>
          <t>[DEAL]</t>
        </is>
      </c>
      <c r="D7" s="29" t="n"/>
      <c r="E7" s="29" t="n"/>
      <c r="F7" s="29" t="n"/>
      <c r="G7" s="29" t="n"/>
      <c r="H7" s="29" t="n"/>
      <c r="I7" s="29" t="n"/>
      <c r="J7" s="29" t="n"/>
      <c r="K7" s="29" t="n"/>
      <c r="L7" s="29" t="n"/>
      <c r="M7" s="29" t="n"/>
      <c r="N7" s="29" t="n"/>
      <c r="O7" s="30" t="inlineStr">
        <is>
          <t>DEAL</t>
        </is>
      </c>
    </row>
    <row r="8">
      <c r="A8" s="27" t="inlineStr">
        <is>
          <t>1600.07</t>
        </is>
      </c>
      <c r="B8" s="28" t="inlineStr">
        <is>
          <t>Casting Associate</t>
        </is>
      </c>
      <c r="C8" s="27" t="inlineStr">
        <is>
          <t>[DEAL]</t>
        </is>
      </c>
      <c r="D8" s="29" t="n"/>
      <c r="E8" s="29" t="n"/>
      <c r="F8" s="29" t="n"/>
      <c r="G8" s="29" t="n"/>
      <c r="H8" s="29" t="n"/>
      <c r="I8" s="29" t="n"/>
      <c r="J8" s="29" t="n"/>
      <c r="K8" s="29" t="n"/>
      <c r="L8" s="29" t="n"/>
      <c r="M8" s="29" t="n"/>
      <c r="N8" s="29" t="n"/>
      <c r="O8"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2100.01</t>
        </is>
      </c>
      <c r="B2" s="28" t="inlineStr">
        <is>
          <t>Production Manager / UPM</t>
        </is>
      </c>
      <c r="C2" s="27" t="inlineStr">
        <is>
          <t>[SCHEDULE]</t>
        </is>
      </c>
      <c r="D2" s="29" t="n"/>
      <c r="E2" s="29" t="n"/>
      <c r="F2" s="29" t="n"/>
      <c r="G2" s="29" t="n"/>
      <c r="H2" s="29" t="n"/>
      <c r="I2" s="29" t="n"/>
      <c r="J2" s="29" t="n"/>
      <c r="K2" s="29" t="n"/>
      <c r="L2" s="29" t="n"/>
      <c r="M2" s="29" t="n"/>
      <c r="N2" s="29" t="n"/>
      <c r="O2" s="36" t="inlineStr">
        <is>
          <t>SCHEDULE</t>
        </is>
      </c>
    </row>
    <row r="3">
      <c r="A3" s="27" t="inlineStr">
        <is>
          <t>2100.02</t>
        </is>
      </c>
      <c r="B3" s="28" t="inlineStr">
        <is>
          <t>1st Assistant Director</t>
        </is>
      </c>
      <c r="C3" s="27" t="inlineStr">
        <is>
          <t>[SCHEDULE]</t>
        </is>
      </c>
      <c r="D3" s="29" t="n"/>
      <c r="E3" s="29" t="n"/>
      <c r="F3" s="29" t="n"/>
      <c r="G3" s="29" t="n"/>
      <c r="H3" s="29" t="n"/>
      <c r="I3" s="29" t="n"/>
      <c r="J3" s="29" t="n"/>
      <c r="K3" s="29" t="n"/>
      <c r="L3" s="29" t="n"/>
      <c r="M3" s="29" t="n"/>
      <c r="N3" s="29" t="n"/>
      <c r="O3" s="36" t="inlineStr">
        <is>
          <t>SCHEDULE</t>
        </is>
      </c>
    </row>
    <row r="4">
      <c r="A4" s="27" t="inlineStr">
        <is>
          <t>2100.03</t>
        </is>
      </c>
      <c r="B4" s="28" t="inlineStr">
        <is>
          <t>2nd Assistant Director</t>
        </is>
      </c>
      <c r="C4" s="27" t="inlineStr">
        <is>
          <t>[SCHEDULE]</t>
        </is>
      </c>
      <c r="D4" s="29" t="n"/>
      <c r="E4" s="29" t="n"/>
      <c r="F4" s="29" t="n"/>
      <c r="G4" s="29" t="n"/>
      <c r="H4" s="29" t="n"/>
      <c r="I4" s="29" t="n"/>
      <c r="J4" s="29" t="n"/>
      <c r="K4" s="29" t="n"/>
      <c r="L4" s="29" t="n"/>
      <c r="M4" s="29" t="n"/>
      <c r="N4" s="29" t="n"/>
      <c r="O4" s="36" t="inlineStr">
        <is>
          <t>SCHEDULE</t>
        </is>
      </c>
    </row>
    <row r="5">
      <c r="A5" s="27" t="inlineStr">
        <is>
          <t>2100.04</t>
        </is>
      </c>
      <c r="B5" s="28" t="inlineStr">
        <is>
          <t>Production Coordinator</t>
        </is>
      </c>
      <c r="C5" s="27" t="inlineStr">
        <is>
          <t>[SCHEDULE]</t>
        </is>
      </c>
      <c r="D5" s="29" t="n"/>
      <c r="E5" s="29" t="n"/>
      <c r="F5" s="29" t="n"/>
      <c r="G5" s="29" t="n"/>
      <c r="H5" s="29" t="n"/>
      <c r="I5" s="29" t="n"/>
      <c r="J5" s="29" t="n"/>
      <c r="K5" s="29" t="n"/>
      <c r="L5" s="29" t="n"/>
      <c r="M5" s="29" t="n"/>
      <c r="N5" s="29" t="n"/>
      <c r="O5" s="36" t="inlineStr">
        <is>
          <t>SCHEDULE</t>
        </is>
      </c>
    </row>
    <row r="6">
      <c r="A6" s="27" t="inlineStr">
        <is>
          <t>2100.05</t>
        </is>
      </c>
      <c r="B6" s="28" t="inlineStr">
        <is>
          <t>Production Secretary</t>
        </is>
      </c>
      <c r="C6" s="27" t="inlineStr">
        <is>
          <t>[SCHEDULE]</t>
        </is>
      </c>
      <c r="D6" s="29" t="n"/>
      <c r="E6" s="29" t="n"/>
      <c r="F6" s="29" t="n"/>
      <c r="G6" s="29" t="n"/>
      <c r="H6" s="29" t="n"/>
      <c r="I6" s="29" t="n"/>
      <c r="J6" s="29" t="n"/>
      <c r="K6" s="29" t="n"/>
      <c r="L6" s="29" t="n"/>
      <c r="M6" s="29" t="n"/>
      <c r="N6" s="29" t="n"/>
      <c r="O6" s="36" t="inlineStr">
        <is>
          <t>SCHEDULE</t>
        </is>
      </c>
    </row>
    <row r="7">
      <c r="A7" s="27" t="inlineStr">
        <is>
          <t>2100.06</t>
        </is>
      </c>
      <c r="B7" s="28" t="inlineStr">
        <is>
          <t>Location Manager</t>
        </is>
      </c>
      <c r="C7" s="27" t="inlineStr">
        <is>
          <t>[SCHEDULE]</t>
        </is>
      </c>
      <c r="D7" s="29" t="n"/>
      <c r="E7" s="29" t="n"/>
      <c r="F7" s="29" t="n"/>
      <c r="G7" s="29" t="n"/>
      <c r="H7" s="29" t="n"/>
      <c r="I7" s="29" t="n"/>
      <c r="J7" s="29" t="n"/>
      <c r="K7" s="29" t="n"/>
      <c r="L7" s="29" t="n"/>
      <c r="M7" s="29" t="n"/>
      <c r="N7" s="29" t="n"/>
      <c r="O7" s="36" t="inlineStr">
        <is>
          <t>SCHEDULE</t>
        </is>
      </c>
    </row>
    <row r="8">
      <c r="A8" s="27" t="inlineStr">
        <is>
          <t>2100.07</t>
        </is>
      </c>
      <c r="B8" s="28" t="inlineStr">
        <is>
          <t>Production Accountant</t>
        </is>
      </c>
      <c r="C8" s="27" t="inlineStr">
        <is>
          <t>[SCHEDULE]</t>
        </is>
      </c>
      <c r="D8" s="29" t="n"/>
      <c r="E8" s="29" t="n"/>
      <c r="F8" s="29" t="n"/>
      <c r="G8" s="29" t="n"/>
      <c r="H8" s="29" t="n"/>
      <c r="I8" s="29" t="n"/>
      <c r="J8" s="29" t="n"/>
      <c r="K8" s="29" t="n"/>
      <c r="L8" s="29" t="n"/>
      <c r="M8" s="29" t="n"/>
      <c r="N8" s="29" t="n"/>
      <c r="O8" s="36" t="inlineStr">
        <is>
          <t>SCHEDULE</t>
        </is>
      </c>
    </row>
    <row r="9">
      <c r="A9" s="27" t="inlineStr">
        <is>
          <t>2100.08</t>
        </is>
      </c>
      <c r="B9" s="28" t="inlineStr">
        <is>
          <t>Payroll services</t>
        </is>
      </c>
      <c r="C9" s="27" t="inlineStr">
        <is>
          <t>[DEAL]</t>
        </is>
      </c>
      <c r="D9" s="29" t="n"/>
      <c r="E9" s="29" t="n"/>
      <c r="F9" s="29" t="n"/>
      <c r="G9" s="29" t="n"/>
      <c r="H9" s="29" t="n"/>
      <c r="I9" s="29" t="n"/>
      <c r="J9" s="29" t="n"/>
      <c r="K9" s="29" t="n"/>
      <c r="L9" s="29" t="n"/>
      <c r="M9" s="29" t="n"/>
      <c r="N9" s="29" t="n"/>
      <c r="O9" s="30" t="inlineStr">
        <is>
          <t>DEAL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2200.01</t>
        </is>
      </c>
      <c r="B2" s="24" t="inlineStr">
        <is>
          <t>Theater stage set — rehearsal space with practical spotlight and performance floor</t>
        </is>
      </c>
      <c r="C2" s="5" t="n">
        <v>1</v>
      </c>
      <c r="D2" s="5" t="inlineStr">
        <is>
          <t>Allow</t>
        </is>
      </c>
      <c r="E2" s="31" t="n"/>
      <c r="F2" s="6">
        <f>IFERROR(C2*D2*E2,"")</f>
        <v/>
      </c>
      <c r="H2" s="6">
        <f>IFERROR(F2+(F2*G2),"")</f>
        <v/>
      </c>
      <c r="K2" s="32" t="n">
        <v>2</v>
      </c>
      <c r="L2" s="33" t="inlineStr">
        <is>
          <t>She walks forward and into a spotlight.</t>
        </is>
      </c>
      <c r="M2" s="24" t="inlineStr">
        <is>
          <t>Practical spotlight required on stage. Used across multiple scenes (INT. THEATER. DAY and INT. THEATER. NIGHT). Period/style TBD by director.</t>
        </is>
      </c>
      <c r="N2" s="34" t="inlineStr">
        <is>
          <t>High</t>
        </is>
      </c>
      <c r="O2" s="35" t="inlineStr">
        <is>
          <t>SCRIPT</t>
        </is>
      </c>
    </row>
    <row r="3">
      <c r="A3" s="5" t="inlineStr">
        <is>
          <t>2200.02</t>
        </is>
      </c>
      <c r="B3" s="24" t="inlineStr">
        <is>
          <t>Charlie and Nicole apartment — full domestic interior set</t>
        </is>
      </c>
      <c r="C3" s="5" t="n">
        <v>1</v>
      </c>
      <c r="D3" s="5" t="inlineStr">
        <is>
          <t>Allow</t>
        </is>
      </c>
      <c r="E3" s="31" t="n"/>
      <c r="F3" s="6">
        <f>IFERROR(C3*D3*E3,"")</f>
        <v/>
      </c>
      <c r="H3" s="6">
        <f>IFERROR(F3+(F3*G3),"")</f>
        <v/>
      </c>
      <c r="K3" s="32" t="n">
        <v>2</v>
      </c>
      <c r="L3" s="33" t="inlineStr">
        <is>
          <t>Charlie is sulking. A hand holds out a phone.</t>
        </is>
      </c>
      <c r="M3" s="24" t="inlineStr">
        <is>
          <t>Primary recurring set. Requires kitchen, living room, and bedroom areas. Multiple scenes shot across different days. Kitchen requires functional cabinets, drawers, shelving.</t>
        </is>
      </c>
      <c r="N3" s="34" t="inlineStr">
        <is>
          <t>High</t>
        </is>
      </c>
      <c r="O3" s="35" t="inlineStr">
        <is>
          <t>SCRIPT</t>
        </is>
      </c>
    </row>
    <row r="4">
      <c r="A4" s="5" t="inlineStr">
        <is>
          <t>2200.03</t>
        </is>
      </c>
      <c r="B4" s="24" t="inlineStr">
        <is>
          <t>Kitchen set — functional cabinets with practical open/close action, all units</t>
        </is>
      </c>
      <c r="C4" s="5" t="n">
        <v>1</v>
      </c>
      <c r="D4" s="5" t="inlineStr">
        <is>
          <t>Allow</t>
        </is>
      </c>
      <c r="E4" s="31" t="n"/>
      <c r="F4" s="6">
        <f>IFERROR(C4*D4*E4,"")</f>
        <v/>
      </c>
      <c r="H4" s="6">
        <f>IFERROR(F4+(F4*G4),"")</f>
        <v/>
      </c>
      <c r="K4" s="32" t="n">
        <v>3</v>
      </c>
      <c r="L4" s="33" t="inlineStr">
        <is>
          <t>All the kitchen cabinets are open. Charlie closing drawers, picking up shoes.</t>
        </is>
      </c>
      <c r="M4" s="24" t="inlineStr">
        <is>
          <t>All kitchen cabinets must be practical and operable on camera. Cast physically interacts with cabinets and drawers. Separate from general set dressing.</t>
        </is>
      </c>
      <c r="N4" s="34" t="inlineStr">
        <is>
          <t>High</t>
        </is>
      </c>
      <c r="O4" s="35" t="inlineStr">
        <is>
          <t>SCRIPT</t>
        </is>
      </c>
    </row>
    <row r="5">
      <c r="A5" s="5" t="inlineStr">
        <is>
          <t>2200.04</t>
        </is>
      </c>
      <c r="B5" s="24" t="inlineStr">
        <is>
          <t>Henry's bedroom set — child's room with bed, toy shelf, reading area</t>
        </is>
      </c>
      <c r="C5" s="5" t="n">
        <v>1</v>
      </c>
      <c r="D5" s="5" t="inlineStr">
        <is>
          <t>Allow</t>
        </is>
      </c>
      <c r="E5" s="31" t="n"/>
      <c r="F5" s="6">
        <f>IFERROR(C5*D5*E5,"")</f>
        <v/>
      </c>
      <c r="H5" s="6">
        <f>IFERROR(F5+(F5*G5),"")</f>
        <v/>
      </c>
      <c r="K5" s="32" t="n">
        <v>4</v>
      </c>
      <c r="L5" s="33" t="inlineStr">
        <is>
          <t>Nicole is reading to Henry in bed.</t>
        </is>
      </c>
      <c r="M5" s="24" t="inlineStr">
        <is>
          <t>INT. HENRY'S ROOM. ANOTHER NIGHT. Requires practical bed, toy shelf dressing, reading lamp.</t>
        </is>
      </c>
      <c r="N5" s="34" t="inlineStr">
        <is>
          <t>High</t>
        </is>
      </c>
      <c r="O5" s="35" t="inlineStr">
        <is>
          <t>SCRIPT</t>
        </is>
      </c>
    </row>
    <row r="6">
      <c r="A6" s="5" t="inlineStr">
        <is>
          <t>2200.05</t>
        </is>
      </c>
      <c r="B6" s="24" t="inlineStr">
        <is>
          <t>Pizzeria interior set — Park Slope Brooklyn pizza restaurant</t>
        </is>
      </c>
      <c r="C6" s="5" t="n">
        <v>1</v>
      </c>
      <c r="D6" s="5" t="inlineStr">
        <is>
          <t>Allow</t>
        </is>
      </c>
      <c r="E6" s="31" t="n"/>
      <c r="F6" s="6">
        <f>IFERROR(C6*D6*E6,"")</f>
        <v/>
      </c>
      <c r="H6" s="6">
        <f>IFERROR(F6+(F6*G6),"")</f>
        <v/>
      </c>
      <c r="K6" s="32" t="n">
        <v>5</v>
      </c>
      <c r="L6" s="33" t="inlineStr">
        <is>
          <t>Charlie eats sloppily with Henry at a pizza place.</t>
        </is>
      </c>
      <c r="M6" s="24" t="inlineStr">
        <is>
          <t>May be a practical location. If built or dressed: period-contemporary Brooklyn pizzeria aesthetic. Confirm with director whether location or build.</t>
        </is>
      </c>
      <c r="N6" s="37" t="inlineStr">
        <is>
          <t>Medium</t>
        </is>
      </c>
      <c r="O6" s="35" t="inlineStr">
        <is>
          <t>SCRIPT</t>
        </is>
      </c>
    </row>
    <row r="7">
      <c r="A7" s="27" t="inlineStr">
        <is>
          <t>2200.06</t>
        </is>
      </c>
      <c r="B7" s="28" t="inlineStr">
        <is>
          <t>Production Designer</t>
        </is>
      </c>
      <c r="C7" s="27" t="inlineStr">
        <is>
          <t>[DEAL]</t>
        </is>
      </c>
      <c r="D7" s="29" t="n"/>
      <c r="E7" s="29" t="n"/>
      <c r="F7" s="29" t="n"/>
      <c r="G7" s="29" t="n"/>
      <c r="H7" s="29" t="n"/>
      <c r="I7" s="29" t="n"/>
      <c r="J7" s="29" t="n"/>
      <c r="K7" s="29" t="n"/>
      <c r="L7" s="29" t="n"/>
      <c r="M7" s="29" t="n"/>
      <c r="N7" s="29" t="n"/>
      <c r="O7" s="30" t="inlineStr">
        <is>
          <t>DEAL</t>
        </is>
      </c>
    </row>
    <row r="8">
      <c r="A8" s="27" t="inlineStr">
        <is>
          <t>2200.07</t>
        </is>
      </c>
      <c r="B8" s="28" t="inlineStr">
        <is>
          <t>Art Director</t>
        </is>
      </c>
      <c r="C8" s="27" t="inlineStr">
        <is>
          <t>[DEAL]</t>
        </is>
      </c>
      <c r="D8" s="29" t="n"/>
      <c r="E8" s="29" t="n"/>
      <c r="F8" s="29" t="n"/>
      <c r="G8" s="29" t="n"/>
      <c r="H8" s="29" t="n"/>
      <c r="I8" s="29" t="n"/>
      <c r="J8" s="29" t="n"/>
      <c r="K8" s="29" t="n"/>
      <c r="L8" s="29" t="n"/>
      <c r="M8" s="29" t="n"/>
      <c r="N8" s="29" t="n"/>
      <c r="O8" s="30" t="inlineStr">
        <is>
          <t>DEAL</t>
        </is>
      </c>
    </row>
    <row r="9">
      <c r="A9" s="27" t="inlineStr">
        <is>
          <t>2200.08</t>
        </is>
      </c>
      <c r="B9" s="28" t="inlineStr">
        <is>
          <t>Set Designer / Drafting</t>
        </is>
      </c>
      <c r="C9" s="27" t="inlineStr">
        <is>
          <t>[DEAL]</t>
        </is>
      </c>
      <c r="D9" s="29" t="n"/>
      <c r="E9" s="29" t="n"/>
      <c r="F9" s="29" t="n"/>
      <c r="G9" s="29" t="n"/>
      <c r="H9" s="29" t="n"/>
      <c r="I9" s="29" t="n"/>
      <c r="J9" s="29" t="n"/>
      <c r="K9" s="29" t="n"/>
      <c r="L9" s="29" t="n"/>
      <c r="M9" s="29" t="n"/>
      <c r="N9" s="29" t="n"/>
      <c r="O9" s="30" t="inlineStr">
        <is>
          <t>DEAL</t>
        </is>
      </c>
    </row>
    <row r="10">
      <c r="A10" s="27" t="inlineStr">
        <is>
          <t>2200.09</t>
        </is>
      </c>
      <c r="B10" s="28" t="inlineStr">
        <is>
          <t>Art Department Assistant</t>
        </is>
      </c>
      <c r="C10" s="27" t="inlineStr">
        <is>
          <t>[DEAL]</t>
        </is>
      </c>
      <c r="D10" s="29" t="n"/>
      <c r="E10" s="29" t="n"/>
      <c r="F10" s="29" t="n"/>
      <c r="G10" s="29" t="n"/>
      <c r="H10" s="29" t="n"/>
      <c r="I10" s="29" t="n"/>
      <c r="J10" s="29" t="n"/>
      <c r="K10" s="29" t="n"/>
      <c r="L10" s="29" t="n"/>
      <c r="M10" s="29" t="n"/>
      <c r="N10" s="29" t="n"/>
      <c r="O10" s="30" t="inlineStr">
        <is>
          <t>DEAL</t>
        </is>
      </c>
    </row>
    <row r="11">
      <c r="A11" s="27" t="inlineStr">
        <is>
          <t>2200.10</t>
        </is>
      </c>
      <c r="B11" s="28" t="inlineStr">
        <is>
          <t>Art Department supplies</t>
        </is>
      </c>
      <c r="C11" s="27" t="inlineStr">
        <is>
          <t>[DEAL]</t>
        </is>
      </c>
      <c r="D11" s="29" t="n"/>
      <c r="E11" s="29" t="n"/>
      <c r="F11" s="29" t="n"/>
      <c r="G11" s="29" t="n"/>
      <c r="H11" s="29" t="n"/>
      <c r="I11" s="29" t="n"/>
      <c r="J11" s="29" t="n"/>
      <c r="K11" s="29" t="n"/>
      <c r="L11" s="29" t="n"/>
      <c r="M11" s="29" t="n"/>
      <c r="N11" s="29" t="n"/>
      <c r="O11"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2300.01</t>
        </is>
      </c>
      <c r="B2" s="28" t="inlineStr">
        <is>
          <t>Construction Coordinator</t>
        </is>
      </c>
      <c r="C2" s="27" t="inlineStr">
        <is>
          <t>[DEAL]</t>
        </is>
      </c>
      <c r="D2" s="29" t="n"/>
      <c r="E2" s="29" t="n"/>
      <c r="F2" s="29" t="n"/>
      <c r="G2" s="29" t="n"/>
      <c r="H2" s="29" t="n"/>
      <c r="I2" s="29" t="n"/>
      <c r="J2" s="29" t="n"/>
      <c r="K2" s="29" t="n"/>
      <c r="L2" s="29" t="n"/>
      <c r="M2" s="29" t="n"/>
      <c r="N2" s="29" t="n"/>
      <c r="O2" s="30" t="inlineStr">
        <is>
          <t>DEAL</t>
        </is>
      </c>
    </row>
    <row r="3">
      <c r="A3" s="27" t="inlineStr">
        <is>
          <t>2300.02</t>
        </is>
      </c>
      <c r="B3" s="28" t="inlineStr">
        <is>
          <t>Construction labor</t>
        </is>
      </c>
      <c r="C3" s="27" t="inlineStr">
        <is>
          <t>[DEAL]</t>
        </is>
      </c>
      <c r="D3" s="29" t="n"/>
      <c r="E3" s="29" t="n"/>
      <c r="F3" s="29" t="n"/>
      <c r="G3" s="29" t="n"/>
      <c r="H3" s="29" t="n"/>
      <c r="I3" s="29" t="n"/>
      <c r="J3" s="29" t="n"/>
      <c r="K3" s="29" t="n"/>
      <c r="L3" s="29" t="n"/>
      <c r="M3" s="29" t="n"/>
      <c r="N3" s="29" t="n"/>
      <c r="O3" s="30" t="inlineStr">
        <is>
          <t>DEAL</t>
        </is>
      </c>
    </row>
    <row r="4">
      <c r="A4" s="27" t="inlineStr">
        <is>
          <t>2300.03</t>
        </is>
      </c>
      <c r="B4" s="28" t="inlineStr">
        <is>
          <t>Construction materials</t>
        </is>
      </c>
      <c r="C4" s="27" t="inlineStr">
        <is>
          <t>[DEAL]</t>
        </is>
      </c>
      <c r="D4" s="29" t="n"/>
      <c r="E4" s="29" t="n"/>
      <c r="F4" s="29" t="n"/>
      <c r="G4" s="29" t="n"/>
      <c r="H4" s="29" t="n"/>
      <c r="I4" s="29" t="n"/>
      <c r="J4" s="29" t="n"/>
      <c r="K4" s="29" t="n"/>
      <c r="L4" s="29" t="n"/>
      <c r="M4" s="29" t="n"/>
      <c r="N4" s="29" t="n"/>
      <c r="O4" s="30" t="inlineStr">
        <is>
          <t>DEAL</t>
        </is>
      </c>
    </row>
    <row r="5">
      <c r="A5" s="27" t="inlineStr">
        <is>
          <t>2300.04</t>
        </is>
      </c>
      <c r="B5" s="28" t="inlineStr">
        <is>
          <t>Stage / mill rental</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2400.01</t>
        </is>
      </c>
      <c r="B2" s="24" t="inlineStr">
        <is>
          <t>Mugs of tea — placed on window sills, bookshelves, toy shelf, and floor throughout apartment</t>
        </is>
      </c>
      <c r="C2" s="5" t="n">
        <v>6</v>
      </c>
      <c r="D2" s="5" t="inlineStr">
        <is>
          <t>Purchase</t>
        </is>
      </c>
      <c r="E2" s="31" t="n"/>
      <c r="F2" s="6">
        <f>IFERROR(C2*D2*E2,"")</f>
        <v/>
      </c>
      <c r="H2" s="6">
        <f>IFERROR(F2+(F2*G2),"")</f>
        <v/>
      </c>
      <c r="K2" s="32" t="n">
        <v>3</v>
      </c>
      <c r="L2" s="33" t="inlineStr">
        <is>
          <t>STILL LIFES of mugs of tea on window sills, bookshelves, Henry's toy shelf, on the floor...</t>
        </is>
      </c>
      <c r="M2" s="24" t="inlineStr">
        <is>
          <t>Background dressing only — not handled by cast in this sequence. Multiple units required for simultaneous placement across set. Qty 6 is estimated minimum; confirm with Set Decorator.</t>
        </is>
      </c>
      <c r="N2" s="34" t="inlineStr">
        <is>
          <t>High</t>
        </is>
      </c>
      <c r="O2" s="35" t="inlineStr">
        <is>
          <t>SCRIPT</t>
        </is>
      </c>
    </row>
    <row r="3">
      <c r="A3" s="5" t="inlineStr">
        <is>
          <t>2400.02</t>
        </is>
      </c>
      <c r="B3" s="24" t="inlineStr">
        <is>
          <t>Framed family photograph — Nicole, Sandra, and Cassie on Hollywood home front lawn</t>
        </is>
      </c>
      <c r="C3" s="5" t="n">
        <v>1</v>
      </c>
      <c r="D3" s="5" t="inlineStr">
        <is>
          <t>Purchase</t>
        </is>
      </c>
      <c r="E3" s="31" t="n"/>
      <c r="F3" s="6">
        <f>IFERROR(C3*D3*E3,"")</f>
        <v/>
      </c>
      <c r="H3" s="6">
        <f>IFERROR(F3+(F3*G3),"")</f>
        <v/>
      </c>
      <c r="K3" s="32" t="n">
        <v>3</v>
      </c>
      <c r="L3" s="33" t="inlineStr">
        <is>
          <t>A framed PHOTO of Nicole, Sandra and Cassie standing in the front lawn of a Hollywood home.</t>
        </is>
      </c>
      <c r="M3" s="24" t="inlineStr">
        <is>
          <t>Background set dressing in apartment. Custom photographic print required — must be shot in pre-production with cast or photo doubles. Period-appropriate framing.</t>
        </is>
      </c>
      <c r="N3" s="34" t="inlineStr">
        <is>
          <t>High</t>
        </is>
      </c>
      <c r="O3" s="35" t="inlineStr">
        <is>
          <t>SCRIPT</t>
        </is>
      </c>
    </row>
    <row r="4">
      <c r="A4" s="5" t="inlineStr">
        <is>
          <t>2400.03</t>
        </is>
      </c>
      <c r="B4" s="24" t="inlineStr">
        <is>
          <t>Bookshelves — apartment living area, dressed with books and incidental objects</t>
        </is>
      </c>
      <c r="C4" s="5" t="n">
        <v>1</v>
      </c>
      <c r="D4" s="5" t="inlineStr">
        <is>
          <t>Allow</t>
        </is>
      </c>
      <c r="E4" s="31" t="n"/>
      <c r="F4" s="6">
        <f>IFERROR(C4*D4*E4,"")</f>
        <v/>
      </c>
      <c r="H4" s="6">
        <f>IFERROR(F4+(F4*G4),"")</f>
        <v/>
      </c>
      <c r="K4" s="32" t="n">
        <v>3</v>
      </c>
      <c r="L4" s="33" t="inlineStr">
        <is>
          <t>STILL LIFES of mugs of tea on window sills, bookshelves...</t>
        </is>
      </c>
      <c r="M4" s="24" t="inlineStr">
        <is>
          <t>Background dressing. Bookshelves must be dressed and appear lived-in. No cast interaction with shelves scripted in these pages.</t>
        </is>
      </c>
      <c r="N4" s="37" t="inlineStr">
        <is>
          <t>Medium</t>
        </is>
      </c>
      <c r="O4" s="35" t="inlineStr">
        <is>
          <t>SCRIPT</t>
        </is>
      </c>
    </row>
    <row r="5">
      <c r="A5" s="5" t="inlineStr">
        <is>
          <t>2400.04</t>
        </is>
      </c>
      <c r="B5" s="24" t="inlineStr">
        <is>
          <t>Henry's toy shelf — child's bedroom, dressed with age-appropriate toys</t>
        </is>
      </c>
      <c r="C5" s="5" t="n">
        <v>1</v>
      </c>
      <c r="D5" s="5" t="inlineStr">
        <is>
          <t>Allow</t>
        </is>
      </c>
      <c r="E5" s="31" t="n"/>
      <c r="F5" s="6">
        <f>IFERROR(C5*D5*E5,"")</f>
        <v/>
      </c>
      <c r="H5" s="6">
        <f>IFERROR(F5+(F5*G5),"")</f>
        <v/>
      </c>
      <c r="K5" s="32" t="n">
        <v>3</v>
      </c>
      <c r="L5" s="33" t="inlineStr">
        <is>
          <t>STILL LIFES of mugs of tea on window sills, bookshelves, Henry's toy shelf, on the floor...</t>
        </is>
      </c>
      <c r="M5" s="24" t="inlineStr">
        <is>
          <t>Background dressing in Henry's room. Must be dressed consistent with 8-year-old child's room. Separate from Star Wars figures handled by cast (see 2500).</t>
        </is>
      </c>
      <c r="N5" s="34" t="inlineStr">
        <is>
          <t>High</t>
        </is>
      </c>
      <c r="O5" s="35" t="inlineStr">
        <is>
          <t>SCRIPT</t>
        </is>
      </c>
    </row>
    <row r="6">
      <c r="A6" s="5" t="inlineStr">
        <is>
          <t>2400.05</t>
        </is>
      </c>
      <c r="B6" s="24" t="inlineStr">
        <is>
          <t>Mirror — full-length or wall-mounted, apartment interior</t>
        </is>
      </c>
      <c r="C6" s="5" t="n">
        <v>1</v>
      </c>
      <c r="D6" s="5" t="inlineStr">
        <is>
          <t>Purchase</t>
        </is>
      </c>
      <c r="E6" s="31" t="n"/>
      <c r="F6" s="6">
        <f>IFERROR(C6*D6*E6,"")</f>
        <v/>
      </c>
      <c r="H6" s="6">
        <f>IFERROR(F6+(F6*G6),"")</f>
        <v/>
      </c>
      <c r="K6" s="32" t="n">
        <v>3</v>
      </c>
      <c r="L6" s="33" t="inlineStr">
        <is>
          <t>Cuts her own in the mirror. Charlie and the kid play in the background.</t>
        </is>
      </c>
      <c r="M6" s="24" t="inlineStr">
        <is>
          <t>Nicole cuts her own hair in front of this mirror. Mirror is background set piece; hair-cutting scissors are in 2500. Confirm size and placement with director.</t>
        </is>
      </c>
      <c r="N6" s="34" t="inlineStr">
        <is>
          <t>High</t>
        </is>
      </c>
      <c r="O6" s="35" t="inlineStr">
        <is>
          <t>SCRIPT</t>
        </is>
      </c>
    </row>
    <row r="7">
      <c r="A7" s="5" t="inlineStr">
        <is>
          <t>2400.06</t>
        </is>
      </c>
      <c r="B7" s="24" t="inlineStr">
        <is>
          <t>Television set — practical, apartment living area</t>
        </is>
      </c>
      <c r="C7" s="5" t="n">
        <v>1</v>
      </c>
      <c r="D7" s="5" t="inlineStr">
        <is>
          <t>Rental-Day</t>
        </is>
      </c>
      <c r="E7" s="31" t="n"/>
      <c r="F7" s="6">
        <f>IFERROR(C7*D7*E7,"")</f>
        <v/>
      </c>
      <c r="H7" s="6">
        <f>IFERROR(F7+(F7*G7),"")</f>
        <v/>
      </c>
      <c r="K7" s="32" t="n">
        <v>4</v>
      </c>
      <c r="L7" s="33" t="inlineStr">
        <is>
          <t>On TV, a younger Nicole (acting in a movie) is part of a raucous college party.</t>
        </is>
      </c>
      <c r="M7" s="24" t="inlineStr">
        <is>
          <t>Practical TV required to play back film footage on camera. Electrical rigging required. Playback content ('All Over The Girl' film clip) is a fictional movie title — no clearance required for fictional title, but content shown on screen must be produced or cleared as needed.</t>
        </is>
      </c>
      <c r="N7" s="34" t="inlineStr">
        <is>
          <t>High</t>
        </is>
      </c>
      <c r="O7" s="35" t="inlineStr">
        <is>
          <t>SCRIPT</t>
        </is>
      </c>
    </row>
    <row r="8">
      <c r="A8" s="5" t="inlineStr">
        <is>
          <t>2400.07</t>
        </is>
      </c>
      <c r="B8" s="24" t="inlineStr">
        <is>
          <t>Theater cast party dressing — ambient party atmosphere, interior theater space at night</t>
        </is>
      </c>
      <c r="C8" s="5" t="n">
        <v>1</v>
      </c>
      <c r="D8" s="5" t="inlineStr">
        <is>
          <t>Allow</t>
        </is>
      </c>
      <c r="E8" s="31" t="n"/>
      <c r="F8" s="6">
        <f>IFERROR(C8*D8*E8,"")</f>
        <v/>
      </c>
      <c r="H8" s="6">
        <f>IFERROR(F8+(F8*G8),"")</f>
        <v/>
      </c>
      <c r="K8" s="32" t="n">
        <v>4</v>
      </c>
      <c r="L8" s="33" t="inlineStr">
        <is>
          <t>Nicole putting on a song and getting people to dance at a cast party.</t>
        </is>
      </c>
      <c r="M8" s="24" t="inlineStr">
        <is>
          <t>Background dressing for INT. THEATER. NIGHT cast party scene. Music playback system required (see also 2500 for any handled music source). Confirm with art department.</t>
        </is>
      </c>
      <c r="N8" s="37" t="inlineStr">
        <is>
          <t>Medium</t>
        </is>
      </c>
      <c r="O8" s="35" t="inlineStr">
        <is>
          <t>SCRIPT</t>
        </is>
      </c>
    </row>
    <row r="9">
      <c r="A9" s="5" t="inlineStr">
        <is>
          <t>2400.08</t>
        </is>
      </c>
      <c r="B9" s="24" t="inlineStr">
        <is>
          <t>Shoes — scattered on apartment floor, background dressing</t>
        </is>
      </c>
      <c r="C9" s="5" t="n">
        <v>4</v>
      </c>
      <c r="D9" s="5" t="inlineStr">
        <is>
          <t>Purchase</t>
        </is>
      </c>
      <c r="E9" s="31" t="n"/>
      <c r="F9" s="6">
        <f>IFERROR(C9*D9*E9,"")</f>
        <v/>
      </c>
      <c r="H9" s="6">
        <f>IFERROR(F9+(F9*G9),"")</f>
        <v/>
      </c>
      <c r="K9" s="32" t="n">
        <v>3</v>
      </c>
      <c r="L9" s="33" t="inlineStr">
        <is>
          <t>Charlie closing drawers, picking up shoes.</t>
        </is>
      </c>
      <c r="M9" s="24" t="inlineStr">
        <is>
          <t>Charlie picks shoes up off the floor — item is incidentally handled. If shoes are picked up and placed, a 2500 row may be warranted; flagged here as background dressing pending director confirmation of camera coverage.</t>
        </is>
      </c>
      <c r="N9" s="37" t="inlineStr">
        <is>
          <t>Medium</t>
        </is>
      </c>
      <c r="O9" s="35" t="inlineStr">
        <is>
          <t>SCRIPT</t>
        </is>
      </c>
    </row>
    <row r="10">
      <c r="A10" s="5" t="inlineStr">
        <is>
          <t>2400.09</t>
        </is>
      </c>
      <c r="B10" s="24" t="inlineStr">
        <is>
          <t>Cooking pots and pans — kitchen set dressing, multiple units visible on stove</t>
        </is>
      </c>
      <c r="C10" s="5" t="n">
        <v>4</v>
      </c>
      <c r="D10" s="5" t="inlineStr">
        <is>
          <t>Purchase</t>
        </is>
      </c>
      <c r="E10" s="31" t="n"/>
      <c r="F10" s="6">
        <f>IFERROR(C10*D10*E10,"")</f>
        <v/>
      </c>
      <c r="H10" s="6">
        <f>IFERROR(F10+(F10*G10),"")</f>
        <v/>
      </c>
      <c r="K10" s="32" t="n">
        <v>6</v>
      </c>
      <c r="L10" s="33" t="inlineStr">
        <is>
          <t>He's cooking - it's elaborate. There are a lot of pots, a lot of steam.</t>
        </is>
      </c>
      <c r="M10" s="24" t="inlineStr">
        <is>
          <t>Background and practical kitchen dressing. Steam/heat from cooking is practical on-set. Qty 4 minimum estimated. Some pots may be cast-interactive (see 2500 for handled items).</t>
        </is>
      </c>
      <c r="N10" s="34" t="inlineStr">
        <is>
          <t>High</t>
        </is>
      </c>
      <c r="O10" s="35" t="inlineStr">
        <is>
          <t>SCRIPT</t>
        </is>
      </c>
    </row>
    <row r="11">
      <c r="A11" s="27" t="inlineStr">
        <is>
          <t>2400.10</t>
        </is>
      </c>
      <c r="B11" s="28" t="inlineStr">
        <is>
          <t>Set Decorator</t>
        </is>
      </c>
      <c r="C11" s="27" t="inlineStr">
        <is>
          <t>[DEAL]</t>
        </is>
      </c>
      <c r="D11" s="29" t="n"/>
      <c r="E11" s="29" t="n"/>
      <c r="F11" s="29" t="n"/>
      <c r="G11" s="29" t="n"/>
      <c r="H11" s="29" t="n"/>
      <c r="I11" s="29" t="n"/>
      <c r="J11" s="29" t="n"/>
      <c r="K11" s="29" t="n"/>
      <c r="L11" s="29" t="n"/>
      <c r="M11" s="29" t="n"/>
      <c r="N11" s="29" t="n"/>
      <c r="O11" s="30" t="inlineStr">
        <is>
          <t>DEAL</t>
        </is>
      </c>
    </row>
    <row r="12">
      <c r="A12" s="27" t="inlineStr">
        <is>
          <t>2400.11</t>
        </is>
      </c>
      <c r="B12" s="28" t="inlineStr">
        <is>
          <t>Swing Gang</t>
        </is>
      </c>
      <c r="C12" s="27" t="inlineStr">
        <is>
          <t>[DEAL]</t>
        </is>
      </c>
      <c r="D12" s="29" t="n"/>
      <c r="E12" s="29" t="n"/>
      <c r="F12" s="29" t="n"/>
      <c r="G12" s="29" t="n"/>
      <c r="H12" s="29" t="n"/>
      <c r="I12" s="29" t="n"/>
      <c r="J12" s="29" t="n"/>
      <c r="K12" s="29" t="n"/>
      <c r="L12" s="29" t="n"/>
      <c r="M12" s="29" t="n"/>
      <c r="N12" s="29" t="n"/>
      <c r="O12" s="30" t="inlineStr">
        <is>
          <t>DEAL</t>
        </is>
      </c>
    </row>
    <row r="13">
      <c r="A13" s="27" t="inlineStr">
        <is>
          <t>2400.12</t>
        </is>
      </c>
      <c r="B13" s="28" t="inlineStr">
        <is>
          <t>Set dressings — purchased</t>
        </is>
      </c>
      <c r="C13" s="27" t="inlineStr">
        <is>
          <t>[DEAL]</t>
        </is>
      </c>
      <c r="D13" s="29" t="n"/>
      <c r="E13" s="29" t="n"/>
      <c r="F13" s="29" t="n"/>
      <c r="G13" s="29" t="n"/>
      <c r="H13" s="29" t="n"/>
      <c r="I13" s="29" t="n"/>
      <c r="J13" s="29" t="n"/>
      <c r="K13" s="29" t="n"/>
      <c r="L13" s="29" t="n"/>
      <c r="M13" s="29" t="n"/>
      <c r="N13" s="29" t="n"/>
      <c r="O13" s="30" t="inlineStr">
        <is>
          <t>DEAL</t>
        </is>
      </c>
    </row>
    <row r="14">
      <c r="A14" s="27" t="inlineStr">
        <is>
          <t>2400.13</t>
        </is>
      </c>
      <c r="B14" s="28" t="inlineStr">
        <is>
          <t>Set dressings — rented</t>
        </is>
      </c>
      <c r="C14" s="27" t="inlineStr">
        <is>
          <t>[DEAL]</t>
        </is>
      </c>
      <c r="D14" s="29" t="n"/>
      <c r="E14" s="29" t="n"/>
      <c r="F14" s="29" t="n"/>
      <c r="G14" s="29" t="n"/>
      <c r="H14" s="29" t="n"/>
      <c r="I14" s="29" t="n"/>
      <c r="J14" s="29" t="n"/>
      <c r="K14" s="29" t="n"/>
      <c r="L14" s="29" t="n"/>
      <c r="M14" s="29" t="n"/>
      <c r="N14" s="29" t="n"/>
      <c r="O14" s="30" t="inlineStr">
        <is>
          <t>DEAL</t>
        </is>
      </c>
    </row>
    <row r="15">
      <c r="A15" s="27" t="inlineStr">
        <is>
          <t>2400.14</t>
        </is>
      </c>
      <c r="B15" s="28" t="inlineStr">
        <is>
          <t>Graphics / signage</t>
        </is>
      </c>
      <c r="C15" s="27" t="inlineStr">
        <is>
          <t>[DEAL]</t>
        </is>
      </c>
      <c r="D15" s="29" t="n"/>
      <c r="E15" s="29" t="n"/>
      <c r="F15" s="29" t="n"/>
      <c r="G15" s="29" t="n"/>
      <c r="H15" s="29" t="n"/>
      <c r="I15" s="29" t="n"/>
      <c r="J15" s="29" t="n"/>
      <c r="K15" s="29" t="n"/>
      <c r="L15" s="29" t="n"/>
      <c r="M15" s="29" t="n"/>
      <c r="N15" s="29" t="n"/>
      <c r="O15"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2500.01</t>
        </is>
      </c>
      <c r="B2" s="24" t="inlineStr">
        <is>
          <t>Trumpet — wrapped as a gift, unwrapped on camera by Charlie</t>
        </is>
      </c>
      <c r="C2" s="5" t="n">
        <v>1</v>
      </c>
      <c r="D2" s="5" t="inlineStr">
        <is>
          <t>Purchase</t>
        </is>
      </c>
      <c r="E2" s="31" t="n"/>
      <c r="F2" s="6">
        <f>IFERROR(C2*D2*E2,"")</f>
        <v/>
      </c>
      <c r="H2" s="6">
        <f>IFERROR(F2+(F2*G2),"")</f>
        <v/>
      </c>
      <c r="K2" s="32" t="n">
        <v>3</v>
      </c>
      <c r="L2" s="33" t="inlineStr">
        <is>
          <t>Charlie rips open a present. It's a trumpet.</t>
        </is>
      </c>
      <c r="M2" s="24" t="inlineStr">
        <is>
          <t>Hero prop. Cast physically unwraps and handles on camera. Requires gift wrapping dressing. Confirm whether trumpet must be playable (hero prop) or display-only.</t>
        </is>
      </c>
      <c r="N2" s="34" t="inlineStr">
        <is>
          <t>High</t>
        </is>
      </c>
      <c r="O2" s="35" t="inlineStr">
        <is>
          <t>SCRIPT</t>
        </is>
      </c>
    </row>
    <row r="3">
      <c r="A3" s="5" t="inlineStr">
        <is>
          <t>2500.02</t>
        </is>
      </c>
      <c r="B3" s="24" t="inlineStr">
        <is>
          <t>Gift wrapping — wrapping paper, ribbon, and box for trumpet present</t>
        </is>
      </c>
      <c r="C3" s="5" t="n">
        <v>3</v>
      </c>
      <c r="D3" s="5" t="inlineStr">
        <is>
          <t>Purchase</t>
        </is>
      </c>
      <c r="E3" s="31" t="n"/>
      <c r="F3" s="6">
        <f>IFERROR(C3*D3*E3,"")</f>
        <v/>
      </c>
      <c r="H3" s="6">
        <f>IFERROR(F3+(F3*G3),"")</f>
        <v/>
      </c>
      <c r="K3" s="32" t="n">
        <v>3</v>
      </c>
      <c r="L3" s="33" t="inlineStr">
        <is>
          <t>Charlie rips open a present. It's a trumpet.</t>
        </is>
      </c>
      <c r="M3" s="24" t="inlineStr">
        <is>
          <t>Breakaway/consumable — Charlie rips it open on camera. Minimum 3 units for multiple takes. Coordinate with Props on period-appropriate or contemporary wrapping style.</t>
        </is>
      </c>
      <c r="N3" s="34" t="inlineStr">
        <is>
          <t>High</t>
        </is>
      </c>
      <c r="O3" s="35" t="inlineStr">
        <is>
          <t>SCRIPT</t>
        </is>
      </c>
    </row>
    <row r="4">
      <c r="A4" s="5" t="inlineStr">
        <is>
          <t>2500.03</t>
        </is>
      </c>
      <c r="B4" s="24" t="inlineStr">
        <is>
          <t>Star Wars action figures — handled by Nicole and Henry during park play scene</t>
        </is>
      </c>
      <c r="C4" s="5" t="n">
        <v>4</v>
      </c>
      <c r="D4" s="5" t="inlineStr">
        <is>
          <t>Purchase</t>
        </is>
      </c>
      <c r="E4" s="31" t="n"/>
      <c r="F4" s="6">
        <f>IFERROR(C4*D4*E4,"")</f>
        <v/>
      </c>
      <c r="H4" s="6">
        <f>IFERROR(F4+(F4*G4),"")</f>
        <v/>
      </c>
      <c r="K4" s="32" t="n">
        <v>3</v>
      </c>
      <c r="L4" s="33" t="inlineStr">
        <is>
          <t>She and Henry play in the park with Star Wars figures.</t>
        </is>
      </c>
      <c r="M4" s="24" t="inlineStr">
        <is>
          <t>Cast-handled props. Multiple figures required — at minimum two per character (Henry's guy, Nicole's guy, replacement guy). Confirm character-specific figures with director. Licensing: Star Wars is a real trademark — figures are purchased retail props, no clearance row needed for standard props use.</t>
        </is>
      </c>
      <c r="N4" s="34" t="inlineStr">
        <is>
          <t>High</t>
        </is>
      </c>
      <c r="O4" s="35" t="inlineStr">
        <is>
          <t>SCRIPT</t>
        </is>
      </c>
    </row>
    <row r="5">
      <c r="A5" s="5" t="inlineStr">
        <is>
          <t>2500.04</t>
        </is>
      </c>
      <c r="B5" s="24" t="inlineStr">
        <is>
          <t>Monopoly board game set — complete game including board, pieces, money, cards</t>
        </is>
      </c>
      <c r="C5" s="5" t="n">
        <v>2</v>
      </c>
      <c r="D5" s="5" t="inlineStr">
        <is>
          <t>Purchase</t>
        </is>
      </c>
      <c r="E5" s="31" t="n"/>
      <c r="F5" s="6">
        <f>IFERROR(C5*D5*E5,"")</f>
        <v/>
      </c>
      <c r="H5" s="6">
        <f>IFERROR(F5+(F5*G5),"")</f>
        <v/>
      </c>
      <c r="K5" s="32" t="n">
        <v>3</v>
      </c>
      <c r="L5" s="33" t="inlineStr">
        <is>
          <t>Nicole, Charlie and Henry are playing Monopoly.</t>
        </is>
      </c>
      <c r="M5" s="24" t="inlineStr">
        <is>
          <t>Cast-handled prop. Full game in play on camera. Minimum 2 units for continuity. Monopoly is a real Hasbro trademark — if branding is visible on camera, a 6200 clearance row may be required. Flag for legal review.</t>
        </is>
      </c>
      <c r="N5" s="34" t="inlineStr">
        <is>
          <t>High</t>
        </is>
      </c>
      <c r="O5" s="35" t="inlineStr">
        <is>
          <t>SCRIPT</t>
        </is>
      </c>
    </row>
    <row r="6">
      <c r="A6" s="5" t="inlineStr">
        <is>
          <t>2500.05</t>
        </is>
      </c>
      <c r="B6" s="24" t="inlineStr">
        <is>
          <t>Jar of pickles — handled by Charlie, knocked on table, attempted opening with dish towel</t>
        </is>
      </c>
      <c r="C6" s="5" t="n">
        <v>4</v>
      </c>
      <c r="D6" s="5" t="inlineStr">
        <is>
          <t>Purchase</t>
        </is>
      </c>
      <c r="E6" s="31" t="n"/>
      <c r="F6" s="6">
        <f>IFERROR(C6*D6*E6,"")</f>
        <v/>
      </c>
      <c r="H6" s="6">
        <f>IFERROR(F6+(F6*G6),"")</f>
        <v/>
      </c>
      <c r="K6" s="32" t="n">
        <v>4</v>
      </c>
      <c r="L6" s="33" t="inlineStr">
        <is>
          <t>Charlie's trying to open a jar of pickles. He struggles. He knocks it on a table.</t>
        </is>
      </c>
      <c r="M6" s="24" t="inlineStr">
        <is>
          <t>Cast-handled hero prop. Multiple takes expected — minimum 4 units. If a real brand label is visible on camera, 6200 clearance required. Source as generic/unbranded or confirm brand clearance. Practical contents (pickles) required.</t>
        </is>
      </c>
      <c r="N6" s="34" t="inlineStr">
        <is>
          <t>High</t>
        </is>
      </c>
      <c r="O6" s="35" t="inlineStr">
        <is>
          <t>SCRIPT</t>
        </is>
      </c>
    </row>
    <row r="7">
      <c r="A7" s="5" t="inlineStr">
        <is>
          <t>2500.06</t>
        </is>
      </c>
      <c r="B7" s="24" t="inlineStr">
        <is>
          <t>Dish towel — used by Charlie to grip and attempt to open pickle jar</t>
        </is>
      </c>
      <c r="C7" s="5" t="n">
        <v>3</v>
      </c>
      <c r="D7" s="5" t="inlineStr">
        <is>
          <t>Purchase</t>
        </is>
      </c>
      <c r="E7" s="31" t="n"/>
      <c r="F7" s="6">
        <f>IFERROR(C7*D7*E7,"")</f>
        <v/>
      </c>
      <c r="H7" s="6">
        <f>IFERROR(F7+(F7*G7),"")</f>
        <v/>
      </c>
      <c r="K7" s="32" t="n">
        <v>4</v>
      </c>
      <c r="L7" s="33" t="inlineStr">
        <is>
          <t>Grabs a dish towel and tries it that way.</t>
        </is>
      </c>
      <c r="M7" s="24" t="inlineStr">
        <is>
          <t>Cast-handled prop. Multiple units for continuity across takes.</t>
        </is>
      </c>
      <c r="N7" s="34" t="inlineStr">
        <is>
          <t>High</t>
        </is>
      </c>
      <c r="O7" s="35" t="inlineStr">
        <is>
          <t>SCRIPT</t>
        </is>
      </c>
    </row>
    <row r="8">
      <c r="A8" s="5" t="inlineStr">
        <is>
          <t>2500.07</t>
        </is>
      </c>
      <c r="B8" s="24" t="inlineStr">
        <is>
          <t>Hair cutting scissors — used by Nicole to cut Henry's hair, Charlie's hair, and her own hair</t>
        </is>
      </c>
      <c r="C8" s="5" t="n">
        <v>3</v>
      </c>
      <c r="D8" s="5" t="inlineStr">
        <is>
          <t>Purchase</t>
        </is>
      </c>
      <c r="E8" s="31" t="n"/>
      <c r="F8" s="6">
        <f>IFERROR(C8*D8*E8,"")</f>
        <v/>
      </c>
      <c r="H8" s="6">
        <f>IFERROR(F8+(F8*G8),"")</f>
        <v/>
      </c>
      <c r="K8" s="32" t="n">
        <v>3</v>
      </c>
      <c r="L8" s="33" t="inlineStr">
        <is>
          <t>She cuts their son, Henry's hair. Cuts Charlie's hair. Cuts her own in the mirror.</t>
        </is>
      </c>
      <c r="M8" s="24" t="inlineStr">
        <is>
          <t>Cast-handled hero prop. Used in multiple scenes. Multiple units for continuity. Professional haircutting scissors appropriate to contemporary domestic setting.</t>
        </is>
      </c>
      <c r="N8" s="34" t="inlineStr">
        <is>
          <t>High</t>
        </is>
      </c>
      <c r="O8" s="35" t="inlineStr">
        <is>
          <t>SCRIPT</t>
        </is>
      </c>
    </row>
    <row r="9">
      <c r="A9" s="5" t="inlineStr">
        <is>
          <t>2500.08</t>
        </is>
      </c>
      <c r="B9" s="24" t="inlineStr">
        <is>
          <t>Broom — used by Charlie to sweep up cut hair, then by Henry to sweep up</t>
        </is>
      </c>
      <c r="C9" s="5" t="n">
        <v>2</v>
      </c>
      <c r="D9" s="5" t="inlineStr">
        <is>
          <t>Purchase</t>
        </is>
      </c>
      <c r="E9" s="31" t="n"/>
      <c r="F9" s="6">
        <f>IFERROR(C9*D9*E9,"")</f>
        <v/>
      </c>
      <c r="H9" s="6">
        <f>IFERROR(F9+(F9*G9),"")</f>
        <v/>
      </c>
      <c r="K9" s="32" t="n">
        <v>3</v>
      </c>
      <c r="L9" s="33" t="inlineStr">
        <is>
          <t>We see Charlie sweeping up. We see the kid sweeping up.</t>
        </is>
      </c>
      <c r="M9" s="24" t="inlineStr">
        <is>
          <t>Cast-handled prop. Two units recommended for continuity — one adult-scale, confirm if child-scale version also needed for Henry's use.</t>
        </is>
      </c>
      <c r="N9" s="34" t="inlineStr">
        <is>
          <t>High</t>
        </is>
      </c>
      <c r="O9" s="35" t="inlineStr">
        <is>
          <t>SCRIPT</t>
        </is>
      </c>
    </row>
    <row r="10">
      <c r="A10" s="5" t="inlineStr">
        <is>
          <t>2500.09</t>
        </is>
      </c>
      <c r="B10" s="24" t="inlineStr">
        <is>
          <t>Mobile phone / telephone handset — held out by Nicole, grabbed reluctantly by Charlie</t>
        </is>
      </c>
      <c r="C10" s="5" t="n">
        <v>2</v>
      </c>
      <c r="D10" s="5" t="inlineStr">
        <is>
          <t>Purchase</t>
        </is>
      </c>
      <c r="E10" s="31" t="n"/>
      <c r="F10" s="6">
        <f>IFERROR(C10*D10*E10,"")</f>
        <v/>
      </c>
      <c r="H10" s="6">
        <f>IFERROR(F10+(F10*G10),"")</f>
        <v/>
      </c>
      <c r="K10" s="32" t="n">
        <v>2</v>
      </c>
      <c r="L10" s="33" t="inlineStr">
        <is>
          <t>A hand holds out a phone. He reluctantly grabs the phone.</t>
        </is>
      </c>
      <c r="M10" s="24" t="inlineStr">
        <is>
          <t>Cast-handled prop. Contemporary smartphone or handset — confirm era/style with director. Multiple units for continuity. Hand double may be required for O.S. hand shot (see 1600).</t>
        </is>
      </c>
      <c r="N10" s="34" t="inlineStr">
        <is>
          <t>High</t>
        </is>
      </c>
      <c r="O10" s="35" t="inlineStr">
        <is>
          <t>SCRIPT</t>
        </is>
      </c>
    </row>
    <row r="11">
      <c r="A11" s="5" t="inlineStr">
        <is>
          <t>2500.10</t>
        </is>
      </c>
      <c r="B11" s="24" t="inlineStr">
        <is>
          <t>Kitchen knife — held up by Henry, shown to camera</t>
        </is>
      </c>
      <c r="C11" s="5" t="n">
        <v>2</v>
      </c>
      <c r="D11" s="5" t="inlineStr">
        <is>
          <t>Purchase</t>
        </is>
      </c>
      <c r="E11" s="31" t="n"/>
      <c r="F11" s="6">
        <f>IFERROR(C11*D11*E11,"")</f>
        <v/>
      </c>
      <c r="H11" s="6">
        <f>IFERROR(F11+(F11*G11),"")</f>
        <v/>
      </c>
      <c r="K11" s="32" t="n">
        <v>6</v>
      </c>
      <c r="L11" s="33" t="inlineStr">
        <is>
          <t>Henry holding up a knife. The peppers are cut!</t>
        </is>
      </c>
      <c r="M11" s="24" t="inlineStr">
        <is>
          <t>Child actor handling a knife on camera. Safety assessment required — consider rubber/safe prop knife depending on shot framing. Child welfare worker on set required. Multiple units.</t>
        </is>
      </c>
      <c r="N11" s="34" t="inlineStr">
        <is>
          <t>High</t>
        </is>
      </c>
      <c r="O11" s="35" t="inlineStr">
        <is>
          <t>SCRIPT</t>
        </is>
      </c>
    </row>
    <row r="12">
      <c r="A12" s="5" t="inlineStr">
        <is>
          <t>2500.11</t>
        </is>
      </c>
      <c r="B12" s="24" t="inlineStr">
        <is>
          <t>Cutting board with cut peppers — kitchen counter, cast-handled cooking props</t>
        </is>
      </c>
      <c r="C12" s="5" t="n">
        <v>2</v>
      </c>
      <c r="D12" s="5" t="inlineStr">
        <is>
          <t>Purchase</t>
        </is>
      </c>
      <c r="E12" s="31" t="n"/>
      <c r="F12" s="6">
        <f>IFERROR(C12*D12*E12,"")</f>
        <v/>
      </c>
      <c r="H12" s="6">
        <f>IFERROR(F12+(F12*G12),"")</f>
        <v/>
      </c>
      <c r="K12" s="32" t="n">
        <v>6</v>
      </c>
      <c r="L12" s="33" t="inlineStr">
        <is>
          <t>He's cooking - it's elaborate. Henry holding up a knife. The peppers are cut!</t>
        </is>
      </c>
      <c r="M12" s="24" t="inlineStr">
        <is>
          <t>Cast-handled prop. Practical cut peppers and cutting board on camera. Multiple units for continuity across takes. Food-safe handling required.</t>
        </is>
      </c>
      <c r="N12" s="34" t="inlineStr">
        <is>
          <t>High</t>
        </is>
      </c>
      <c r="O12" s="35" t="inlineStr">
        <is>
          <t>SCRIPT</t>
        </is>
      </c>
    </row>
    <row r="13">
      <c r="A13" s="5" t="inlineStr">
        <is>
          <t>2500.12</t>
        </is>
      </c>
      <c r="B13" s="24" t="inlineStr">
        <is>
          <t>Kettle — practical, whistling on stove in kitchen still-life sequence</t>
        </is>
      </c>
      <c r="C13" s="5" t="n">
        <v>2</v>
      </c>
      <c r="D13" s="5" t="inlineStr">
        <is>
          <t>Purchase</t>
        </is>
      </c>
      <c r="E13" s="31" t="n"/>
      <c r="F13" s="6">
        <f>IFERROR(C13*D13*E13,"")</f>
        <v/>
      </c>
      <c r="H13" s="6">
        <f>IFERROR(F13+(F13*G13),"")</f>
        <v/>
      </c>
      <c r="K13" s="32" t="n">
        <v>3</v>
      </c>
      <c r="L13" s="33" t="inlineStr">
        <is>
          <t>A kettle whistles.</t>
        </is>
      </c>
      <c r="M13" s="24" t="inlineStr">
        <is>
          <t>Practical prop — must produce steam/whistle on camera. Electrical or stovetop version to be confirmed. Multiple units for continuity. If cast-interactive (moved by Nicole): confirm with director.</t>
        </is>
      </c>
      <c r="N13" s="34" t="inlineStr">
        <is>
          <t>High</t>
        </is>
      </c>
      <c r="O13" s="35" t="inlineStr">
        <is>
          <t>SCRIPT</t>
        </is>
      </c>
    </row>
    <row r="14">
      <c r="A14" s="5" t="inlineStr">
        <is>
          <t>2500.13</t>
        </is>
      </c>
      <c r="B14" s="24" t="inlineStr">
        <is>
          <t>Book — held by Nicole while reading to Henry in bed</t>
        </is>
      </c>
      <c r="C14" s="5" t="n">
        <v>2</v>
      </c>
      <c r="D14" s="5" t="inlineStr">
        <is>
          <t>Purchase</t>
        </is>
      </c>
      <c r="E14" s="31" t="n"/>
      <c r="F14" s="6">
        <f>IFERROR(C14*D14*E14,"")</f>
        <v/>
      </c>
      <c r="H14" s="6">
        <f>IFERROR(F14+(F14*G14),"")</f>
        <v/>
      </c>
      <c r="K14" s="32" t="n">
        <v>4</v>
      </c>
      <c r="L14" s="33" t="inlineStr">
        <is>
          <t>Nicole is reading to Henry in bed.</t>
        </is>
      </c>
      <c r="M14" s="24" t="inlineStr">
        <is>
          <t>Cast-handled prop. Title of book not specified — confirm with director whether a specific real title is needed (which would trigger 6200 if branding is visible). Multiple units for continuity.</t>
        </is>
      </c>
      <c r="N14" s="37" t="inlineStr">
        <is>
          <t>Medium</t>
        </is>
      </c>
      <c r="O14" s="35" t="inlineStr">
        <is>
          <t>SCRIPT</t>
        </is>
      </c>
    </row>
    <row r="15">
      <c r="A15" s="5" t="inlineStr">
        <is>
          <t>2500.14</t>
        </is>
      </c>
      <c r="B15" s="24" t="inlineStr">
        <is>
          <t>Book or magazine — held by Nicole while reading in apartment room</t>
        </is>
      </c>
      <c r="C15" s="5" t="n">
        <v>2</v>
      </c>
      <c r="D15" s="5" t="inlineStr">
        <is>
          <t>Purchase</t>
        </is>
      </c>
      <c r="E15" s="31" t="n"/>
      <c r="F15" s="6">
        <f>IFERROR(C15*D15*E15,"")</f>
        <v/>
      </c>
      <c r="H15" s="6">
        <f>IFERROR(F15+(F15*G15),"")</f>
        <v/>
      </c>
      <c r="K15" s="32" t="n">
        <v>5</v>
      </c>
      <c r="L15" s="33" t="inlineStr">
        <is>
          <t>Nicole is reading in a room.</t>
        </is>
      </c>
      <c r="M15" s="24" t="inlineStr">
        <is>
          <t>Cast-handled prop. Separate from bedtime reading scene. Title unspecified — confirm with director. If real magazine or book title is visible, 6200 clearance review required.</t>
        </is>
      </c>
      <c r="N15" s="37" t="inlineStr">
        <is>
          <t>Medium</t>
        </is>
      </c>
      <c r="O15" s="35" t="inlineStr">
        <is>
          <t>SCRIPT</t>
        </is>
      </c>
    </row>
    <row r="16">
      <c r="A16" s="5" t="inlineStr">
        <is>
          <t>2500.15</t>
        </is>
      </c>
      <c r="B16" s="24" t="inlineStr">
        <is>
          <t>Pen or writing instrument — used by Nicole to write down phone number for ASPCA solicitor</t>
        </is>
      </c>
      <c r="C16" s="5" t="n">
        <v>3</v>
      </c>
      <c r="D16" s="5" t="inlineStr">
        <is>
          <t>Purchase</t>
        </is>
      </c>
      <c r="E16" s="31" t="n"/>
      <c r="F16" s="6">
        <f>IFERROR(C16*D16*E16,"")</f>
        <v/>
      </c>
      <c r="H16" s="6">
        <f>IFERROR(F16+(F16*G16),"")</f>
        <v/>
      </c>
      <c r="K16" s="32" t="n">
        <v>2</v>
      </c>
      <c r="L16" s="33" t="inlineStr">
        <is>
          <t>She listens intently and starts writing down her phone number.</t>
        </is>
      </c>
      <c r="M16" s="24" t="inlineStr">
        <is>
          <t>Cast-handled prop. EXT scene on Flatbush Avenue. Multiple units for continuity. Also requires small notepad or paper — see 2500.16.</t>
        </is>
      </c>
      <c r="N16" s="34" t="inlineStr">
        <is>
          <t>High</t>
        </is>
      </c>
      <c r="O16" s="35" t="inlineStr">
        <is>
          <t>SCRIPT</t>
        </is>
      </c>
    </row>
    <row r="17">
      <c r="A17" s="5" t="inlineStr">
        <is>
          <t>2500.16</t>
        </is>
      </c>
      <c r="B17" s="24" t="inlineStr">
        <is>
          <t>Notepad or scrap paper — used by Nicole to write phone number for ASPCA solicitor</t>
        </is>
      </c>
      <c r="C17" s="5" t="n">
        <v>5</v>
      </c>
      <c r="D17" s="5" t="inlineStr">
        <is>
          <t>Purchase</t>
        </is>
      </c>
      <c r="E17" s="31" t="n"/>
      <c r="F17" s="6">
        <f>IFERROR(C17*D17*E17,"")</f>
        <v/>
      </c>
      <c r="H17" s="6">
        <f>IFERROR(F17+(F17*G17),"")</f>
        <v/>
      </c>
      <c r="K17" s="32" t="n">
        <v>2</v>
      </c>
      <c r="L17" s="33" t="inlineStr">
        <is>
          <t>She listens intently and starts writing down her phone number.</t>
        </is>
      </c>
      <c r="M17" s="24" t="inlineStr">
        <is>
          <t>Consumable cast-handled prop. Multiple units for takes. Coordinate with Props on whether ASPCA solicitor provides the paper (handled by day player) or Nicole uses her own.</t>
        </is>
      </c>
      <c r="N17" s="34" t="inlineStr">
        <is>
          <t>High</t>
        </is>
      </c>
      <c r="O17" s="35" t="inlineStr">
        <is>
          <t>SCRIPT</t>
        </is>
      </c>
    </row>
    <row r="18">
      <c r="A18" s="5" t="inlineStr">
        <is>
          <t>2500.17</t>
        </is>
      </c>
      <c r="B18" s="24" t="inlineStr">
        <is>
          <t>Henry's sweater — physically lifted and turned around by Charlie on camera</t>
        </is>
      </c>
      <c r="C18" s="5" t="n">
        <v>1</v>
      </c>
      <c r="D18" s="5" t="inlineStr">
        <is>
          <t>Purchase</t>
        </is>
      </c>
      <c r="E18" s="31" t="n"/>
      <c r="F18" s="6">
        <f>IFERROR(C18*D18*E18,"")</f>
        <v/>
      </c>
      <c r="H18" s="6">
        <f>IFERROR(F18+(F18*G18),"")</f>
        <v/>
      </c>
      <c r="K18" s="32" t="n">
        <v>5</v>
      </c>
      <c r="L18" s="33" t="inlineStr">
        <is>
          <t>He lifts Henry's sweater up over his arms and turns it around to face the right way.</t>
        </is>
      </c>
      <c r="M18" s="24" t="inlineStr">
        <is>
          <t>Actively handled costume piece — Charlie physically removes and repositions the sweater on Henry on camera. Keep in Wardrobe (3300) as primary account but flag here: coordinate with Props for handling continuity. This note serves as cross-department flag only; primary row is 3300.</t>
        </is>
      </c>
      <c r="N18" s="34" t="inlineStr">
        <is>
          <t>High</t>
        </is>
      </c>
      <c r="O18" s="35" t="inlineStr">
        <is>
          <t>SCRIPT</t>
        </is>
      </c>
    </row>
    <row r="19">
      <c r="A19" s="27" t="inlineStr">
        <is>
          <t>2500.18</t>
        </is>
      </c>
      <c r="B19" s="28" t="inlineStr">
        <is>
          <t>Property Master</t>
        </is>
      </c>
      <c r="C19" s="27" t="inlineStr">
        <is>
          <t>[DEAL]</t>
        </is>
      </c>
      <c r="D19" s="29" t="n"/>
      <c r="E19" s="29" t="n"/>
      <c r="F19" s="29" t="n"/>
      <c r="G19" s="29" t="n"/>
      <c r="H19" s="29" t="n"/>
      <c r="I19" s="29" t="n"/>
      <c r="J19" s="29" t="n"/>
      <c r="K19" s="29" t="n"/>
      <c r="L19" s="29" t="n"/>
      <c r="M19" s="29" t="n"/>
      <c r="N19" s="29" t="n"/>
      <c r="O19" s="30" t="inlineStr">
        <is>
          <t>DEAL</t>
        </is>
      </c>
    </row>
    <row r="20">
      <c r="A20" s="27" t="inlineStr">
        <is>
          <t>2500.19</t>
        </is>
      </c>
      <c r="B20" s="28" t="inlineStr">
        <is>
          <t>Assistant Property Master</t>
        </is>
      </c>
      <c r="C20" s="27" t="inlineStr">
        <is>
          <t>[DEAL]</t>
        </is>
      </c>
      <c r="D20" s="29" t="n"/>
      <c r="E20" s="29" t="n"/>
      <c r="F20" s="29" t="n"/>
      <c r="G20" s="29" t="n"/>
      <c r="H20" s="29" t="n"/>
      <c r="I20" s="29" t="n"/>
      <c r="J20" s="29" t="n"/>
      <c r="K20" s="29" t="n"/>
      <c r="L20" s="29" t="n"/>
      <c r="M20" s="29" t="n"/>
      <c r="N20" s="29" t="n"/>
      <c r="O20" s="30" t="inlineStr">
        <is>
          <t>DEAL</t>
        </is>
      </c>
    </row>
    <row r="21">
      <c r="A21" s="27" t="inlineStr">
        <is>
          <t>2500.20</t>
        </is>
      </c>
      <c r="B21" s="28" t="inlineStr">
        <is>
          <t>Prop rentals</t>
        </is>
      </c>
      <c r="C21" s="27" t="inlineStr">
        <is>
          <t>[DEAL]</t>
        </is>
      </c>
      <c r="D21" s="29" t="n"/>
      <c r="E21" s="29" t="n"/>
      <c r="F21" s="29" t="n"/>
      <c r="G21" s="29" t="n"/>
      <c r="H21" s="29" t="n"/>
      <c r="I21" s="29" t="n"/>
      <c r="J21" s="29" t="n"/>
      <c r="K21" s="29" t="n"/>
      <c r="L21" s="29" t="n"/>
      <c r="M21" s="29" t="n"/>
      <c r="N21" s="29" t="n"/>
      <c r="O21" s="30" t="inlineStr">
        <is>
          <t>DEAL</t>
        </is>
      </c>
    </row>
    <row r="22">
      <c r="A22" s="27" t="inlineStr">
        <is>
          <t>2500.21</t>
        </is>
      </c>
      <c r="B22" s="28" t="inlineStr">
        <is>
          <t>Prop purchases</t>
        </is>
      </c>
      <c r="C22" s="27" t="inlineStr">
        <is>
          <t>[DEAL]</t>
        </is>
      </c>
      <c r="D22" s="29" t="n"/>
      <c r="E22" s="29" t="n"/>
      <c r="F22" s="29" t="n"/>
      <c r="G22" s="29" t="n"/>
      <c r="H22" s="29" t="n"/>
      <c r="I22" s="29" t="n"/>
      <c r="J22" s="29" t="n"/>
      <c r="K22" s="29" t="n"/>
      <c r="L22" s="29" t="n"/>
      <c r="M22" s="29" t="n"/>
      <c r="N22" s="29" t="n"/>
      <c r="O22"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2600.01</t>
        </is>
      </c>
      <c r="B2" s="28" t="inlineStr">
        <is>
          <t>Director of Photography</t>
        </is>
      </c>
      <c r="C2" s="27" t="inlineStr">
        <is>
          <t>[DEAL]</t>
        </is>
      </c>
      <c r="D2" s="29" t="n"/>
      <c r="E2" s="29" t="n"/>
      <c r="F2" s="29" t="n"/>
      <c r="G2" s="29" t="n"/>
      <c r="H2" s="29" t="n"/>
      <c r="I2" s="29" t="n"/>
      <c r="J2" s="29" t="n"/>
      <c r="K2" s="29" t="n"/>
      <c r="L2" s="29" t="n"/>
      <c r="M2" s="29" t="n"/>
      <c r="N2" s="29" t="n"/>
      <c r="O2" s="30" t="inlineStr">
        <is>
          <t>DEAL</t>
        </is>
      </c>
    </row>
    <row r="3">
      <c r="A3" s="27" t="inlineStr">
        <is>
          <t>2600.02</t>
        </is>
      </c>
      <c r="B3" s="28" t="inlineStr">
        <is>
          <t>Camera Operator</t>
        </is>
      </c>
      <c r="C3" s="27" t="inlineStr">
        <is>
          <t>[DEAL]</t>
        </is>
      </c>
      <c r="D3" s="29" t="n"/>
      <c r="E3" s="29" t="n"/>
      <c r="F3" s="29" t="n"/>
      <c r="G3" s="29" t="n"/>
      <c r="H3" s="29" t="n"/>
      <c r="I3" s="29" t="n"/>
      <c r="J3" s="29" t="n"/>
      <c r="K3" s="29" t="n"/>
      <c r="L3" s="29" t="n"/>
      <c r="M3" s="29" t="n"/>
      <c r="N3" s="29" t="n"/>
      <c r="O3" s="30" t="inlineStr">
        <is>
          <t>DEAL</t>
        </is>
      </c>
    </row>
    <row r="4">
      <c r="A4" s="27" t="inlineStr">
        <is>
          <t>2600.03</t>
        </is>
      </c>
      <c r="B4" s="28" t="inlineStr">
        <is>
          <t>1st AC / Focus Puller</t>
        </is>
      </c>
      <c r="C4" s="27" t="inlineStr">
        <is>
          <t>[DEAL]</t>
        </is>
      </c>
      <c r="D4" s="29" t="n"/>
      <c r="E4" s="29" t="n"/>
      <c r="F4" s="29" t="n"/>
      <c r="G4" s="29" t="n"/>
      <c r="H4" s="29" t="n"/>
      <c r="I4" s="29" t="n"/>
      <c r="J4" s="29" t="n"/>
      <c r="K4" s="29" t="n"/>
      <c r="L4" s="29" t="n"/>
      <c r="M4" s="29" t="n"/>
      <c r="N4" s="29" t="n"/>
      <c r="O4" s="30" t="inlineStr">
        <is>
          <t>DEAL</t>
        </is>
      </c>
    </row>
    <row r="5">
      <c r="A5" s="27" t="inlineStr">
        <is>
          <t>2600.04</t>
        </is>
      </c>
      <c r="B5" s="28" t="inlineStr">
        <is>
          <t>2nd AC / Loader</t>
        </is>
      </c>
      <c r="C5" s="27" t="inlineStr">
        <is>
          <t>[DEAL]</t>
        </is>
      </c>
      <c r="D5" s="29" t="n"/>
      <c r="E5" s="29" t="n"/>
      <c r="F5" s="29" t="n"/>
      <c r="G5" s="29" t="n"/>
      <c r="H5" s="29" t="n"/>
      <c r="I5" s="29" t="n"/>
      <c r="J5" s="29" t="n"/>
      <c r="K5" s="29" t="n"/>
      <c r="L5" s="29" t="n"/>
      <c r="M5" s="29" t="n"/>
      <c r="N5" s="29" t="n"/>
      <c r="O5" s="30" t="inlineStr">
        <is>
          <t>DEAL</t>
        </is>
      </c>
    </row>
    <row r="6">
      <c r="A6" s="27" t="inlineStr">
        <is>
          <t>2600.05</t>
        </is>
      </c>
      <c r="B6" s="28" t="inlineStr">
        <is>
          <t>Main Camera Package</t>
        </is>
      </c>
      <c r="C6" s="27" t="inlineStr">
        <is>
          <t>[DEAL]</t>
        </is>
      </c>
      <c r="D6" s="29" t="n"/>
      <c r="E6" s="29" t="n"/>
      <c r="F6" s="29" t="n"/>
      <c r="G6" s="29" t="n"/>
      <c r="H6" s="29" t="n"/>
      <c r="I6" s="29" t="n"/>
      <c r="J6" s="29" t="n"/>
      <c r="K6" s="29" t="n"/>
      <c r="L6" s="29" t="n"/>
      <c r="M6" s="29" t="n"/>
      <c r="N6" s="29" t="n"/>
      <c r="O6" s="30" t="inlineStr">
        <is>
          <t>DEAL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2700.01</t>
        </is>
      </c>
      <c r="B2" s="28" t="inlineStr">
        <is>
          <t>Gaffer</t>
        </is>
      </c>
      <c r="C2" s="27" t="inlineStr">
        <is>
          <t>[DEAL]</t>
        </is>
      </c>
      <c r="D2" s="29" t="n"/>
      <c r="E2" s="29" t="n"/>
      <c r="F2" s="29" t="n"/>
      <c r="G2" s="29" t="n"/>
      <c r="H2" s="29" t="n"/>
      <c r="I2" s="29" t="n"/>
      <c r="J2" s="29" t="n"/>
      <c r="K2" s="29" t="n"/>
      <c r="L2" s="29" t="n"/>
      <c r="M2" s="29" t="n"/>
      <c r="N2" s="29" t="n"/>
      <c r="O2" s="30" t="inlineStr">
        <is>
          <t>DEAL</t>
        </is>
      </c>
    </row>
    <row r="3">
      <c r="A3" s="27" t="inlineStr">
        <is>
          <t>2700.02</t>
        </is>
      </c>
      <c r="B3" s="28" t="inlineStr">
        <is>
          <t>Best Boy Electric</t>
        </is>
      </c>
      <c r="C3" s="27" t="inlineStr">
        <is>
          <t>[DEAL]</t>
        </is>
      </c>
      <c r="D3" s="29" t="n"/>
      <c r="E3" s="29" t="n"/>
      <c r="F3" s="29" t="n"/>
      <c r="G3" s="29" t="n"/>
      <c r="H3" s="29" t="n"/>
      <c r="I3" s="29" t="n"/>
      <c r="J3" s="29" t="n"/>
      <c r="K3" s="29" t="n"/>
      <c r="L3" s="29" t="n"/>
      <c r="M3" s="29" t="n"/>
      <c r="N3" s="29" t="n"/>
      <c r="O3" s="30" t="inlineStr">
        <is>
          <t>DEAL</t>
        </is>
      </c>
    </row>
    <row r="4">
      <c r="A4" s="27" t="inlineStr">
        <is>
          <t>2700.03</t>
        </is>
      </c>
      <c r="B4" s="28" t="inlineStr">
        <is>
          <t>Electricians</t>
        </is>
      </c>
      <c r="C4" s="27" t="inlineStr">
        <is>
          <t>[DEAL]</t>
        </is>
      </c>
      <c r="D4" s="29" t="n"/>
      <c r="E4" s="29" t="n"/>
      <c r="F4" s="29" t="n"/>
      <c r="G4" s="29" t="n"/>
      <c r="H4" s="29" t="n"/>
      <c r="I4" s="29" t="n"/>
      <c r="J4" s="29" t="n"/>
      <c r="K4" s="29" t="n"/>
      <c r="L4" s="29" t="n"/>
      <c r="M4" s="29" t="n"/>
      <c r="N4" s="29" t="n"/>
      <c r="O4" s="30" t="inlineStr">
        <is>
          <t>DEAL</t>
        </is>
      </c>
    </row>
    <row r="5">
      <c r="A5" s="27" t="inlineStr">
        <is>
          <t>2700.04</t>
        </is>
      </c>
      <c r="B5" s="28" t="inlineStr">
        <is>
          <t>Lighting Package</t>
        </is>
      </c>
      <c r="C5" s="27" t="inlineStr">
        <is>
          <t>[DEAL]</t>
        </is>
      </c>
      <c r="D5" s="29" t="n"/>
      <c r="E5" s="29" t="n"/>
      <c r="F5" s="29" t="n"/>
      <c r="G5" s="29" t="n"/>
      <c r="H5" s="29" t="n"/>
      <c r="I5" s="29" t="n"/>
      <c r="J5" s="29" t="n"/>
      <c r="K5" s="29" t="n"/>
      <c r="L5" s="29" t="n"/>
      <c r="M5" s="29" t="n"/>
      <c r="N5" s="29" t="n"/>
      <c r="O5" s="30" t="inlineStr">
        <is>
          <t>DEAL</t>
        </is>
      </c>
    </row>
    <row r="6">
      <c r="A6" s="27" t="inlineStr">
        <is>
          <t>2700.05</t>
        </is>
      </c>
      <c r="B6" s="28" t="inlineStr">
        <is>
          <t>Generator rental</t>
        </is>
      </c>
      <c r="C6" s="27" t="inlineStr">
        <is>
          <t>[DEAL]</t>
        </is>
      </c>
      <c r="D6" s="29" t="n"/>
      <c r="E6" s="29" t="n"/>
      <c r="F6" s="29" t="n"/>
      <c r="G6" s="29" t="n"/>
      <c r="H6" s="29" t="n"/>
      <c r="I6" s="29" t="n"/>
      <c r="J6" s="29" t="n"/>
      <c r="K6" s="29" t="n"/>
      <c r="L6" s="29" t="n"/>
      <c r="M6" s="29" t="n"/>
      <c r="N6" s="29" t="n"/>
      <c r="O6" s="30" t="inlineStr">
        <is>
          <t>DEAL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2800.01</t>
        </is>
      </c>
      <c r="B2" s="28" t="inlineStr">
        <is>
          <t>Key Grip</t>
        </is>
      </c>
      <c r="C2" s="27" t="inlineStr">
        <is>
          <t>[DEAL]</t>
        </is>
      </c>
      <c r="D2" s="29" t="n"/>
      <c r="E2" s="29" t="n"/>
      <c r="F2" s="29" t="n"/>
      <c r="G2" s="29" t="n"/>
      <c r="H2" s="29" t="n"/>
      <c r="I2" s="29" t="n"/>
      <c r="J2" s="29" t="n"/>
      <c r="K2" s="29" t="n"/>
      <c r="L2" s="29" t="n"/>
      <c r="M2" s="29" t="n"/>
      <c r="N2" s="29" t="n"/>
      <c r="O2" s="30" t="inlineStr">
        <is>
          <t>DEAL</t>
        </is>
      </c>
    </row>
    <row r="3">
      <c r="A3" s="27" t="inlineStr">
        <is>
          <t>2800.02</t>
        </is>
      </c>
      <c r="B3" s="28" t="inlineStr">
        <is>
          <t>Best Boy Grip</t>
        </is>
      </c>
      <c r="C3" s="27" t="inlineStr">
        <is>
          <t>[DEAL]</t>
        </is>
      </c>
      <c r="D3" s="29" t="n"/>
      <c r="E3" s="29" t="n"/>
      <c r="F3" s="29" t="n"/>
      <c r="G3" s="29" t="n"/>
      <c r="H3" s="29" t="n"/>
      <c r="I3" s="29" t="n"/>
      <c r="J3" s="29" t="n"/>
      <c r="K3" s="29" t="n"/>
      <c r="L3" s="29" t="n"/>
      <c r="M3" s="29" t="n"/>
      <c r="N3" s="29" t="n"/>
      <c r="O3" s="30" t="inlineStr">
        <is>
          <t>DEAL</t>
        </is>
      </c>
    </row>
    <row r="4">
      <c r="A4" s="27" t="inlineStr">
        <is>
          <t>2800.03</t>
        </is>
      </c>
      <c r="B4" s="28" t="inlineStr">
        <is>
          <t>Dolly Grip</t>
        </is>
      </c>
      <c r="C4" s="27" t="inlineStr">
        <is>
          <t>[DEAL]</t>
        </is>
      </c>
      <c r="D4" s="29" t="n"/>
      <c r="E4" s="29" t="n"/>
      <c r="F4" s="29" t="n"/>
      <c r="G4" s="29" t="n"/>
      <c r="H4" s="29" t="n"/>
      <c r="I4" s="29" t="n"/>
      <c r="J4" s="29" t="n"/>
      <c r="K4" s="29" t="n"/>
      <c r="L4" s="29" t="n"/>
      <c r="M4" s="29" t="n"/>
      <c r="N4" s="29" t="n"/>
      <c r="O4" s="30" t="inlineStr">
        <is>
          <t>DEAL</t>
        </is>
      </c>
    </row>
    <row r="5">
      <c r="A5" s="27" t="inlineStr">
        <is>
          <t>2800.04</t>
        </is>
      </c>
      <c r="B5" s="28" t="inlineStr">
        <is>
          <t>Grip Package</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2900.01</t>
        </is>
      </c>
      <c r="B2" s="28" t="inlineStr">
        <is>
          <t>Production Sound Mixer</t>
        </is>
      </c>
      <c r="C2" s="27" t="inlineStr">
        <is>
          <t>[DEAL]</t>
        </is>
      </c>
      <c r="D2" s="29" t="n"/>
      <c r="E2" s="29" t="n"/>
      <c r="F2" s="29" t="n"/>
      <c r="G2" s="29" t="n"/>
      <c r="H2" s="29" t="n"/>
      <c r="I2" s="29" t="n"/>
      <c r="J2" s="29" t="n"/>
      <c r="K2" s="29" t="n"/>
      <c r="L2" s="29" t="n"/>
      <c r="M2" s="29" t="n"/>
      <c r="N2" s="29" t="n"/>
      <c r="O2" s="30" t="inlineStr">
        <is>
          <t>DEAL</t>
        </is>
      </c>
    </row>
    <row r="3">
      <c r="A3" s="27" t="inlineStr">
        <is>
          <t>2900.02</t>
        </is>
      </c>
      <c r="B3" s="28" t="inlineStr">
        <is>
          <t>Boom Operator</t>
        </is>
      </c>
      <c r="C3" s="27" t="inlineStr">
        <is>
          <t>[DEAL]</t>
        </is>
      </c>
      <c r="D3" s="29" t="n"/>
      <c r="E3" s="29" t="n"/>
      <c r="F3" s="29" t="n"/>
      <c r="G3" s="29" t="n"/>
      <c r="H3" s="29" t="n"/>
      <c r="I3" s="29" t="n"/>
      <c r="J3" s="29" t="n"/>
      <c r="K3" s="29" t="n"/>
      <c r="L3" s="29" t="n"/>
      <c r="M3" s="29" t="n"/>
      <c r="N3" s="29" t="n"/>
      <c r="O3" s="30" t="inlineStr">
        <is>
          <t>DEAL</t>
        </is>
      </c>
    </row>
    <row r="4">
      <c r="A4" s="27" t="inlineStr">
        <is>
          <t>2900.03</t>
        </is>
      </c>
      <c r="B4" s="28" t="inlineStr">
        <is>
          <t>Sound Package</t>
        </is>
      </c>
      <c r="C4" s="27" t="inlineStr">
        <is>
          <t>[DEAL]</t>
        </is>
      </c>
      <c r="D4" s="29" t="n"/>
      <c r="E4" s="29" t="n"/>
      <c r="F4" s="29" t="n"/>
      <c r="G4" s="29" t="n"/>
      <c r="H4" s="29" t="n"/>
      <c r="I4" s="29" t="n"/>
      <c r="J4" s="29" t="n"/>
      <c r="K4" s="29" t="n"/>
      <c r="L4" s="29" t="n"/>
      <c r="M4" s="29" t="n"/>
      <c r="N4" s="29" t="n"/>
      <c r="O4" s="30" t="inlineStr">
        <is>
          <t>DEAL</t>
        </is>
      </c>
    </row>
    <row r="5">
      <c r="A5" s="27" t="inlineStr">
        <is>
          <t>2900.04</t>
        </is>
      </c>
      <c r="B5" s="28" t="inlineStr">
        <is>
          <t>Walkie-talkies</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2950.01</t>
        </is>
      </c>
      <c r="B2" s="24" t="inlineStr">
        <is>
          <t>Stunt Coordinator on-set required — scripted physical contact, Nicole climbs body of male actor during theater rehearsal</t>
        </is>
      </c>
      <c r="C2" s="5" t="n">
        <v>1</v>
      </c>
      <c r="D2" s="5" t="inlineStr">
        <is>
          <t>Days</t>
        </is>
      </c>
      <c r="E2" s="31" t="n"/>
      <c r="F2" s="6">
        <f>IFERROR(C2*D2*E2,"")</f>
        <v/>
      </c>
      <c r="H2" s="6">
        <f>IFERROR(F2+(F2*G2),"")</f>
        <v/>
      </c>
      <c r="K2" s="32" t="n">
        <v>5</v>
      </c>
      <c r="L2" s="33" t="inlineStr">
        <is>
          <t>She walks across the floor and climbs (scales like a rockface) the body of a male actor.</t>
        </is>
      </c>
      <c r="M2" s="24" t="inlineStr">
        <is>
          <t>Scripted physical contact between principal cast and supporting performer during theater rehearsal scene. Stunt Coordinator on-set required per rules for any scripted physical contact.</t>
        </is>
      </c>
      <c r="N2" s="34" t="inlineStr">
        <is>
          <t>High</t>
        </is>
      </c>
      <c r="O2" s="35" t="inlineStr">
        <is>
          <t>SCRIPT</t>
        </is>
      </c>
    </row>
    <row r="3">
      <c r="A3" s="5" t="inlineStr">
        <is>
          <t>2950.02</t>
        </is>
      </c>
      <c r="B3" s="24" t="inlineStr">
        <is>
          <t>Safety Officer — theater rehearsal climb/physical contact scene</t>
        </is>
      </c>
      <c r="C3" s="5" t="n">
        <v>1</v>
      </c>
      <c r="D3" s="5" t="inlineStr">
        <is>
          <t>Days</t>
        </is>
      </c>
      <c r="E3" s="31" t="n"/>
      <c r="F3" s="6">
        <f>IFERROR(C3*D3*E3,"")</f>
        <v/>
      </c>
      <c r="H3" s="6">
        <f>IFERROR(F3+(F3*G3),"")</f>
        <v/>
      </c>
      <c r="K3" s="32" t="n">
        <v>5</v>
      </c>
      <c r="L3" s="33" t="inlineStr">
        <is>
          <t>She walks across the floor and climbs (scales like a rockface) the body of a male actor.</t>
        </is>
      </c>
      <c r="M3" s="24" t="inlineStr">
        <is>
          <t>Required alongside Stunt Coordinator whenever scripted physical contact is present. Structural rule — no exceptions.</t>
        </is>
      </c>
      <c r="N3" s="34" t="inlineStr">
        <is>
          <t>High</t>
        </is>
      </c>
      <c r="O3" s="35" t="inlineStr">
        <is>
          <t>SCRIPT</t>
        </is>
      </c>
    </row>
    <row r="4">
      <c r="A4" s="27" t="inlineStr">
        <is>
          <t>2950.03</t>
        </is>
      </c>
      <c r="B4" s="28" t="inlineStr">
        <is>
          <t>Stunt Coordinator</t>
        </is>
      </c>
      <c r="C4" s="27" t="inlineStr">
        <is>
          <t>[DEAL]</t>
        </is>
      </c>
      <c r="D4" s="29" t="n"/>
      <c r="E4" s="29" t="n"/>
      <c r="F4" s="29" t="n"/>
      <c r="G4" s="29" t="n"/>
      <c r="H4" s="29" t="n"/>
      <c r="I4" s="29" t="n"/>
      <c r="J4" s="29" t="n"/>
      <c r="K4" s="29" t="n"/>
      <c r="L4" s="29" t="n"/>
      <c r="M4" s="29" t="n"/>
      <c r="N4" s="29" t="n"/>
      <c r="O4" s="30" t="inlineStr">
        <is>
          <t>DEAL</t>
        </is>
      </c>
    </row>
    <row r="5">
      <c r="A5" s="27" t="inlineStr">
        <is>
          <t>2950.04</t>
        </is>
      </c>
      <c r="B5" s="28" t="inlineStr">
        <is>
          <t>Stunt Performer(s)</t>
        </is>
      </c>
      <c r="C5" s="27" t="inlineStr">
        <is>
          <t>[DEAL]</t>
        </is>
      </c>
      <c r="D5" s="29" t="n"/>
      <c r="E5" s="29" t="n"/>
      <c r="F5" s="29" t="n"/>
      <c r="G5" s="29" t="n"/>
      <c r="H5" s="29" t="n"/>
      <c r="I5" s="29" t="n"/>
      <c r="J5" s="29" t="n"/>
      <c r="K5" s="29" t="n"/>
      <c r="L5" s="29" t="n"/>
      <c r="M5" s="29" t="n"/>
      <c r="N5" s="29" t="n"/>
      <c r="O5" s="30" t="inlineStr">
        <is>
          <t>DEAL</t>
        </is>
      </c>
    </row>
    <row r="6">
      <c r="A6" s="27" t="inlineStr">
        <is>
          <t>2950.05</t>
        </is>
      </c>
      <c r="B6" s="28" t="inlineStr">
        <is>
          <t>Safety Officer</t>
        </is>
      </c>
      <c r="C6" s="27" t="inlineStr">
        <is>
          <t>[DEAL]</t>
        </is>
      </c>
      <c r="D6" s="29" t="n"/>
      <c r="E6" s="29" t="n"/>
      <c r="F6" s="29" t="n"/>
      <c r="G6" s="29" t="n"/>
      <c r="H6" s="29" t="n"/>
      <c r="I6" s="29" t="n"/>
      <c r="J6" s="29" t="n"/>
      <c r="K6" s="29" t="n"/>
      <c r="L6" s="29" t="n"/>
      <c r="M6" s="29" t="n"/>
      <c r="N6" s="29" t="n"/>
      <c r="O6" s="30" t="inlineStr">
        <is>
          <t>DEAL</t>
        </is>
      </c>
    </row>
    <row r="7">
      <c r="A7" s="27" t="inlineStr">
        <is>
          <t>2950.06</t>
        </is>
      </c>
      <c r="B7" s="28" t="inlineStr">
        <is>
          <t>Stunt Equipment / Rigging</t>
        </is>
      </c>
      <c r="C7" s="27" t="inlineStr">
        <is>
          <t>[DEAL]</t>
        </is>
      </c>
      <c r="D7" s="29" t="n"/>
      <c r="E7" s="29" t="n"/>
      <c r="F7" s="29" t="n"/>
      <c r="G7" s="29" t="n"/>
      <c r="H7" s="29" t="n"/>
      <c r="I7" s="29" t="n"/>
      <c r="J7" s="29" t="n"/>
      <c r="K7" s="29" t="n"/>
      <c r="L7" s="29" t="n"/>
      <c r="M7" s="29" t="n"/>
      <c r="N7" s="29" t="n"/>
      <c r="O7" s="30" t="inlineStr">
        <is>
          <t>DEAL</t>
        </is>
      </c>
    </row>
  </sheetData>
  <hyperlinks>
    <hyperlink xmlns:r="http://schemas.openxmlformats.org/officeDocument/2006/relationships" ref="K2" r:id="rId1"/>
    <hyperlink xmlns:r="http://schemas.openxmlformats.org/officeDocument/2006/relationships" ref="K3"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3000.01</t>
        </is>
      </c>
      <c r="B2" s="28" t="inlineStr">
        <is>
          <t>FX Coordinator</t>
        </is>
      </c>
      <c r="C2" s="27" t="inlineStr">
        <is>
          <t>[DEAL]</t>
        </is>
      </c>
      <c r="D2" s="29" t="n"/>
      <c r="E2" s="29" t="n"/>
      <c r="F2" s="29" t="n"/>
      <c r="G2" s="29" t="n"/>
      <c r="H2" s="29" t="n"/>
      <c r="I2" s="29" t="n"/>
      <c r="J2" s="29" t="n"/>
      <c r="K2" s="29" t="n"/>
      <c r="L2" s="29" t="n"/>
      <c r="M2" s="29" t="n"/>
      <c r="N2" s="29" t="n"/>
      <c r="O2" s="30" t="inlineStr">
        <is>
          <t>DEAL</t>
        </is>
      </c>
    </row>
    <row r="3">
      <c r="A3" s="27" t="inlineStr">
        <is>
          <t>3000.02</t>
        </is>
      </c>
      <c r="B3" s="28" t="inlineStr">
        <is>
          <t>FX Crew</t>
        </is>
      </c>
      <c r="C3" s="27" t="inlineStr">
        <is>
          <t>[DEAL]</t>
        </is>
      </c>
      <c r="D3" s="29" t="n"/>
      <c r="E3" s="29" t="n"/>
      <c r="F3" s="29" t="n"/>
      <c r="G3" s="29" t="n"/>
      <c r="H3" s="29" t="n"/>
      <c r="I3" s="29" t="n"/>
      <c r="J3" s="29" t="n"/>
      <c r="K3" s="29" t="n"/>
      <c r="L3" s="29" t="n"/>
      <c r="M3" s="29" t="n"/>
      <c r="N3" s="29" t="n"/>
      <c r="O3" s="30" t="inlineStr">
        <is>
          <t>DEAL</t>
        </is>
      </c>
    </row>
    <row r="4">
      <c r="A4" s="27" t="inlineStr">
        <is>
          <t>3000.03</t>
        </is>
      </c>
      <c r="B4" s="28" t="inlineStr">
        <is>
          <t>FX Materials / consumables</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3100.01</t>
        </is>
      </c>
      <c r="B2" s="28" t="inlineStr">
        <is>
          <t>VFX Supervisor</t>
        </is>
      </c>
      <c r="C2" s="27" t="inlineStr">
        <is>
          <t>[DEAL]</t>
        </is>
      </c>
      <c r="D2" s="29" t="n"/>
      <c r="E2" s="29" t="n"/>
      <c r="F2" s="29" t="n"/>
      <c r="G2" s="29" t="n"/>
      <c r="H2" s="29" t="n"/>
      <c r="I2" s="29" t="n"/>
      <c r="J2" s="29" t="n"/>
      <c r="K2" s="29" t="n"/>
      <c r="L2" s="29" t="n"/>
      <c r="M2" s="29" t="n"/>
      <c r="N2" s="29" t="n"/>
      <c r="O2" s="30" t="inlineStr">
        <is>
          <t>DEAL</t>
        </is>
      </c>
    </row>
    <row r="3">
      <c r="A3" s="27" t="inlineStr">
        <is>
          <t>3100.02</t>
        </is>
      </c>
      <c r="B3" s="28" t="inlineStr">
        <is>
          <t>VFX Production / labor</t>
        </is>
      </c>
      <c r="C3" s="27" t="inlineStr">
        <is>
          <t>[DEAL]</t>
        </is>
      </c>
      <c r="D3" s="29" t="n"/>
      <c r="E3" s="29" t="n"/>
      <c r="F3" s="29" t="n"/>
      <c r="G3" s="29" t="n"/>
      <c r="H3" s="29" t="n"/>
      <c r="I3" s="29" t="n"/>
      <c r="J3" s="29" t="n"/>
      <c r="K3" s="29" t="n"/>
      <c r="L3" s="29" t="n"/>
      <c r="M3" s="29" t="n"/>
      <c r="N3" s="29" t="n"/>
      <c r="O3" s="30" t="inlineStr">
        <is>
          <t>DEAL</t>
        </is>
      </c>
    </row>
    <row r="4">
      <c r="A4" s="27" t="inlineStr">
        <is>
          <t>3100.03</t>
        </is>
      </c>
      <c r="B4" s="28" t="inlineStr">
        <is>
          <t>VFX Software / tools</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3200.01</t>
        </is>
      </c>
      <c r="B2" s="24" t="inlineStr">
        <is>
          <t>Welfare worker / on-set studio teacher — Henry (child actor, age 8)</t>
        </is>
      </c>
      <c r="C2" s="5" t="n">
        <v>1</v>
      </c>
      <c r="D2" s="5" t="inlineStr">
        <is>
          <t>Days</t>
        </is>
      </c>
      <c r="E2" s="31" t="n"/>
      <c r="F2" s="6">
        <f>IFERROR(C2*D2*E2,"")</f>
        <v/>
      </c>
      <c r="H2" s="6">
        <f>IFERROR(F2+(F2*G2),"")</f>
        <v/>
      </c>
      <c r="K2" s="32" t="n">
        <v>3</v>
      </c>
      <c r="L2" s="33" t="inlineStr">
        <is>
          <t>She cuts their son, (8 years old) Henry's hair.</t>
        </is>
      </c>
      <c r="M2" s="24" t="inlineStr">
        <is>
          <t>Child actor (Henry, age 8) appears in multiple scenes across the montage sequence. Welfare worker and studio teacher legally required on set per SAG-AFTRA and state labor regulations whenever a minor is working.</t>
        </is>
      </c>
      <c r="N2" s="34" t="inlineStr">
        <is>
          <t>High</t>
        </is>
      </c>
      <c r="O2" s="35" t="inlineStr">
        <is>
          <t>SCRIPT</t>
        </is>
      </c>
    </row>
    <row r="3">
      <c r="A3" s="27" t="inlineStr">
        <is>
          <t>3200.02</t>
        </is>
      </c>
      <c r="B3" s="28" t="inlineStr">
        <is>
          <t>Set Carpenter (standby)</t>
        </is>
      </c>
      <c r="C3" s="27" t="inlineStr">
        <is>
          <t>[SCHEDULE]</t>
        </is>
      </c>
      <c r="D3" s="29" t="n"/>
      <c r="E3" s="29" t="n"/>
      <c r="F3" s="29" t="n"/>
      <c r="G3" s="29" t="n"/>
      <c r="H3" s="29" t="n"/>
      <c r="I3" s="29" t="n"/>
      <c r="J3" s="29" t="n"/>
      <c r="K3" s="29" t="n"/>
      <c r="L3" s="29" t="n"/>
      <c r="M3" s="29" t="n"/>
      <c r="N3" s="29" t="n"/>
      <c r="O3" s="36" t="inlineStr">
        <is>
          <t>SCHEDULE</t>
        </is>
      </c>
    </row>
    <row r="4">
      <c r="A4" s="27" t="inlineStr">
        <is>
          <t>3200.03</t>
        </is>
      </c>
      <c r="B4" s="28" t="inlineStr">
        <is>
          <t>Standby Painter</t>
        </is>
      </c>
      <c r="C4" s="27" t="inlineStr">
        <is>
          <t>[SCHEDULE]</t>
        </is>
      </c>
      <c r="D4" s="29" t="n"/>
      <c r="E4" s="29" t="n"/>
      <c r="F4" s="29" t="n"/>
      <c r="G4" s="29" t="n"/>
      <c r="H4" s="29" t="n"/>
      <c r="I4" s="29" t="n"/>
      <c r="J4" s="29" t="n"/>
      <c r="K4" s="29" t="n"/>
      <c r="L4" s="29" t="n"/>
      <c r="M4" s="29" t="n"/>
      <c r="N4" s="29" t="n"/>
      <c r="O4" s="36" t="inlineStr">
        <is>
          <t>SCHEDULE</t>
        </is>
      </c>
    </row>
    <row r="5">
      <c r="A5" s="27" t="inlineStr">
        <is>
          <t>3200.04</t>
        </is>
      </c>
      <c r="B5" s="28" t="inlineStr">
        <is>
          <t>Craft Service</t>
        </is>
      </c>
      <c r="C5" s="27" t="inlineStr">
        <is>
          <t>[SCHEDULE]</t>
        </is>
      </c>
      <c r="D5" s="29" t="n"/>
      <c r="E5" s="29" t="n"/>
      <c r="F5" s="29" t="n"/>
      <c r="G5" s="29" t="n"/>
      <c r="H5" s="29" t="n"/>
      <c r="I5" s="29" t="n"/>
      <c r="J5" s="29" t="n"/>
      <c r="K5" s="29" t="n"/>
      <c r="L5" s="29" t="n"/>
      <c r="M5" s="29" t="n"/>
      <c r="N5" s="29" t="n"/>
      <c r="O5" s="36" t="inlineStr">
        <is>
          <t>SCHEDULE</t>
        </is>
      </c>
    </row>
    <row r="6">
      <c r="A6" s="27" t="inlineStr">
        <is>
          <t>3200.05</t>
        </is>
      </c>
      <c r="B6" s="28" t="inlineStr">
        <is>
          <t>First Aid / On-set Nurse</t>
        </is>
      </c>
      <c r="C6" s="27" t="inlineStr">
        <is>
          <t>[SCHEDULE]</t>
        </is>
      </c>
      <c r="D6" s="29" t="n"/>
      <c r="E6" s="29" t="n"/>
      <c r="F6" s="29" t="n"/>
      <c r="G6" s="29" t="n"/>
      <c r="H6" s="29" t="n"/>
      <c r="I6" s="29" t="n"/>
      <c r="J6" s="29" t="n"/>
      <c r="K6" s="29" t="n"/>
      <c r="L6" s="29" t="n"/>
      <c r="M6" s="29" t="n"/>
      <c r="N6" s="29" t="n"/>
      <c r="O6" s="36" t="inlineStr">
        <is>
          <t>SCHEDULE</t>
        </is>
      </c>
    </row>
    <row r="7">
      <c r="A7" s="27" t="inlineStr">
        <is>
          <t>3200.06</t>
        </is>
      </c>
      <c r="B7" s="28" t="inlineStr">
        <is>
          <t>Security</t>
        </is>
      </c>
      <c r="C7" s="27" t="inlineStr">
        <is>
          <t>[SCHEDULE]</t>
        </is>
      </c>
      <c r="D7" s="29" t="n"/>
      <c r="E7" s="29" t="n"/>
      <c r="F7" s="29" t="n"/>
      <c r="G7" s="29" t="n"/>
      <c r="H7" s="29" t="n"/>
      <c r="I7" s="29" t="n"/>
      <c r="J7" s="29" t="n"/>
      <c r="K7" s="29" t="n"/>
      <c r="L7" s="29" t="n"/>
      <c r="M7" s="29" t="n"/>
      <c r="N7" s="29" t="n"/>
      <c r="O7" s="36" t="inlineStr">
        <is>
          <t>SCHEDULE</t>
        </is>
      </c>
    </row>
  </sheetData>
  <hyperlinks>
    <hyperlink xmlns:r="http://schemas.openxmlformats.org/officeDocument/2006/relationships" ref="K2"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3300.01</t>
        </is>
      </c>
      <c r="B2" s="24" t="inlineStr">
        <is>
          <t>Nicole — contemporary casual wardrobe, multiple looks across montage scenes</t>
        </is>
      </c>
      <c r="C2" s="5" t="n">
        <v>2</v>
      </c>
      <c r="D2" s="5" t="inlineStr">
        <is>
          <t>Allow</t>
        </is>
      </c>
      <c r="E2" s="31" t="n"/>
      <c r="F2" s="6">
        <f>IFERROR(C2*D2*E2,"")</f>
        <v/>
      </c>
      <c r="H2" s="6">
        <f>IFERROR(F2+(F2*G2),"")</f>
        <v/>
      </c>
      <c r="K2" s="32" t="n">
        <v>2</v>
      </c>
      <c r="L2" s="33" t="inlineStr">
        <is>
          <t>Her coming out of a subway. A young 'funny' ASPCA solicitor stops her.</t>
        </is>
      </c>
      <c r="M2" s="24" t="inlineStr">
        <is>
          <t>Principal hero costume. Minimum 2 units required — hero + continuity backup. Add units if stunt double scenes are present. Multiple costume changes across montage implied (subway, apartment, park, theater). Continuity matching required across all scenes.</t>
        </is>
      </c>
      <c r="N2" s="34" t="inlineStr">
        <is>
          <t>High</t>
        </is>
      </c>
      <c r="O2" s="35" t="inlineStr">
        <is>
          <t>SCRIPT</t>
        </is>
      </c>
    </row>
    <row r="3">
      <c r="A3" s="5" t="inlineStr">
        <is>
          <t>3300.02</t>
        </is>
      </c>
      <c r="B3" s="24" t="inlineStr">
        <is>
          <t>Charlie — contemporary casual wardrobe, multiple looks across montage scenes</t>
        </is>
      </c>
      <c r="C3" s="5" t="n">
        <v>2</v>
      </c>
      <c r="D3" s="5" t="inlineStr">
        <is>
          <t>Allow</t>
        </is>
      </c>
      <c r="E3" s="31" t="n"/>
      <c r="F3" s="6">
        <f>IFERROR(C3*D3*E3,"")</f>
        <v/>
      </c>
      <c r="H3" s="6">
        <f>IFERROR(F3+(F3*G3),"")</f>
        <v/>
      </c>
      <c r="K3" s="32" t="n">
        <v>5</v>
      </c>
      <c r="L3" s="33" t="inlineStr">
        <is>
          <t>He's a great dresser, he never looks embarrassing which is hard for a man.</t>
        </is>
      </c>
      <c r="M3" s="24" t="inlineStr">
        <is>
          <t>Principal hero costume. Minimum 2 units required — hero + continuity backup. Dialogue specifically calls out Charlie as a 'great dresser' — wardrobe selection is character-defining and requires deliberate sourcing. Multiple looks across montage.</t>
        </is>
      </c>
      <c r="N3" s="34" t="inlineStr">
        <is>
          <t>High</t>
        </is>
      </c>
      <c r="O3" s="35" t="inlineStr">
        <is>
          <t>SCRIPT</t>
        </is>
      </c>
    </row>
    <row r="4">
      <c r="A4" s="5" t="inlineStr">
        <is>
          <t>3300.03</t>
        </is>
      </c>
      <c r="B4" s="24" t="inlineStr">
        <is>
          <t>Henry — contemporary casual wardrobe, including sweater featured in pizza scene</t>
        </is>
      </c>
      <c r="C4" s="5" t="n">
        <v>2</v>
      </c>
      <c r="D4" s="5" t="inlineStr">
        <is>
          <t>Allow</t>
        </is>
      </c>
      <c r="E4" s="31" t="n"/>
      <c r="F4" s="6">
        <f>IFERROR(C4*D4*E4,"")</f>
        <v/>
      </c>
      <c r="H4" s="6">
        <f>IFERROR(F4+(F4*G4),"")</f>
        <v/>
      </c>
      <c r="K4" s="32" t="n">
        <v>5</v>
      </c>
      <c r="L4" s="33" t="inlineStr">
        <is>
          <t>He lifts Henry's sweater up over his arms and turns it around to face the right way.</t>
        </is>
      </c>
      <c r="M4" s="24" t="inlineStr">
        <is>
          <t>Child principal cast. Minimum 2 units required — hero + continuity backup. Sweater is physically handled on camera by Charlie (lifted and reversed) — provide handling units separate from hero costume. Coordinate with Props department for continuity. Multiple costume looks across montage.</t>
        </is>
      </c>
      <c r="N4" s="34" t="inlineStr">
        <is>
          <t>High</t>
        </is>
      </c>
      <c r="O4" s="35" t="inlineStr">
        <is>
          <t>SCRIPT</t>
        </is>
      </c>
    </row>
    <row r="5">
      <c r="A5" s="5" t="inlineStr">
        <is>
          <t>3300.04</t>
        </is>
      </c>
      <c r="B5" s="24" t="inlineStr">
        <is>
          <t>Nicole — theater rehearsal costume, used in climbing/physical stage rehearsal scene</t>
        </is>
      </c>
      <c r="C5" s="5" t="n">
        <v>2</v>
      </c>
      <c r="D5" s="5" t="inlineStr">
        <is>
          <t>Allow</t>
        </is>
      </c>
      <c r="E5" s="31" t="n"/>
      <c r="F5" s="6">
        <f>IFERROR(C5*D5*E5,"")</f>
        <v/>
      </c>
      <c r="H5" s="6">
        <f>IFERROR(F5+(F5*G5),"")</f>
        <v/>
      </c>
      <c r="K5" s="32" t="n">
        <v>5</v>
      </c>
      <c r="L5" s="33" t="inlineStr">
        <is>
          <t>She walks across the floor and climbs (scales like a rockface) the body of a male actor.</t>
        </is>
      </c>
      <c r="M5" s="24" t="inlineStr">
        <is>
          <t>Minimum 2 units required — hero + continuity backup. Physical activity (climbing actor's body) may require additional durable or stunt-rated units. Coordinate with costume designer and stunt coordinator.</t>
        </is>
      </c>
      <c r="N5" s="34" t="inlineStr">
        <is>
          <t>High</t>
        </is>
      </c>
      <c r="O5" s="35" t="inlineStr">
        <is>
          <t>SCRIPT</t>
        </is>
      </c>
    </row>
    <row r="6">
      <c r="A6" s="5" t="inlineStr">
        <is>
          <t>3300.05</t>
        </is>
      </c>
      <c r="B6" s="24" t="inlineStr">
        <is>
          <t>Nicole — theater cast party wardrobe</t>
        </is>
      </c>
      <c r="C6" s="5" t="n">
        <v>2</v>
      </c>
      <c r="D6" s="5" t="inlineStr">
        <is>
          <t>Allow</t>
        </is>
      </c>
      <c r="E6" s="31" t="n"/>
      <c r="F6" s="6">
        <f>IFERROR(C6*D6*E6,"")</f>
        <v/>
      </c>
      <c r="H6" s="6">
        <f>IFERROR(F6+(F6*G6),"")</f>
        <v/>
      </c>
      <c r="K6" s="32" t="n">
        <v>4</v>
      </c>
      <c r="L6" s="33" t="inlineStr">
        <is>
          <t>Nicole putting on a song and getting people to dance at a cast party.</t>
        </is>
      </c>
      <c r="M6" s="24" t="inlineStr">
        <is>
          <t>Minimum 2 units required — hero + continuity backup. Distinct scene setting (cast party, night) likely requires separate costume look from daytime scenes.</t>
        </is>
      </c>
      <c r="N6" s="37" t="inlineStr">
        <is>
          <t>Medium</t>
        </is>
      </c>
      <c r="O6" s="35" t="inlineStr">
        <is>
          <t>SCRIPT</t>
        </is>
      </c>
    </row>
    <row r="7">
      <c r="A7" s="5" t="inlineStr">
        <is>
          <t>3300.06</t>
        </is>
      </c>
      <c r="B7" s="24" t="inlineStr">
        <is>
          <t>Solicitor — wardrobe. Coordinate with Costume Designer.</t>
        </is>
      </c>
      <c r="C7" s="5" t="n">
        <v>1</v>
      </c>
      <c r="D7" s="5" t="inlineStr">
        <is>
          <t>Allow</t>
        </is>
      </c>
      <c r="E7" s="31" t="n"/>
      <c r="F7" s="6">
        <f>IFERROR(C7*D7*E7,"")</f>
        <v/>
      </c>
      <c r="H7" s="6">
        <f>IFERROR(F7+(F7*G7),"")</f>
        <v/>
      </c>
      <c r="K7" s="32" t="n">
        <v>2</v>
      </c>
      <c r="L7" s="33" t="inlineStr"/>
      <c r="M7" s="24" t="inlineStr">
        <is>
          <t>Auto-generated fallback: every named cast member requires a wardrobe row. Verify period, costume, and fitting details with Costume Designer.</t>
        </is>
      </c>
      <c r="N7" s="37" t="inlineStr">
        <is>
          <t>Medium</t>
        </is>
      </c>
      <c r="O7" s="35" t="inlineStr">
        <is>
          <t>SCRIPT</t>
        </is>
      </c>
    </row>
    <row r="8">
      <c r="A8" s="5" t="inlineStr">
        <is>
          <t>3300.07</t>
        </is>
      </c>
      <c r="B8" s="24" t="inlineStr">
        <is>
          <t>On-set welfare worker / child guardian — wardrobe. Coordinate with Costume Designer.</t>
        </is>
      </c>
      <c r="C8" s="5" t="n">
        <v>1</v>
      </c>
      <c r="D8" s="5" t="inlineStr">
        <is>
          <t>Allow</t>
        </is>
      </c>
      <c r="E8" s="31" t="n"/>
      <c r="F8" s="6">
        <f>IFERROR(C8*D8*E8,"")</f>
        <v/>
      </c>
      <c r="H8" s="6">
        <f>IFERROR(F8+(F8*G8),"")</f>
        <v/>
      </c>
      <c r="K8" s="32" t="n">
        <v>3</v>
      </c>
      <c r="L8" s="33" t="inlineStr"/>
      <c r="M8" s="24" t="inlineStr">
        <is>
          <t>Auto-generated fallback: every named cast member requires a wardrobe row. Verify period, costume, and fitting details with Costume Designer.</t>
        </is>
      </c>
      <c r="N8" s="37" t="inlineStr">
        <is>
          <t>Medium</t>
        </is>
      </c>
      <c r="O8" s="35" t="inlineStr">
        <is>
          <t>SCRIPT</t>
        </is>
      </c>
    </row>
    <row r="9">
      <c r="A9" s="27" t="inlineStr">
        <is>
          <t>3300.08</t>
        </is>
      </c>
      <c r="B9" s="28" t="inlineStr">
        <is>
          <t>Costume Designer</t>
        </is>
      </c>
      <c r="C9" s="27" t="inlineStr">
        <is>
          <t>[DEAL]</t>
        </is>
      </c>
      <c r="D9" s="29" t="n"/>
      <c r="E9" s="29" t="n"/>
      <c r="F9" s="29" t="n"/>
      <c r="G9" s="29" t="n"/>
      <c r="H9" s="29" t="n"/>
      <c r="I9" s="29" t="n"/>
      <c r="J9" s="29" t="n"/>
      <c r="K9" s="29" t="n"/>
      <c r="L9" s="29" t="n"/>
      <c r="M9" s="29" t="n"/>
      <c r="N9" s="29" t="n"/>
      <c r="O9" s="30" t="inlineStr">
        <is>
          <t>DEAL</t>
        </is>
      </c>
    </row>
    <row r="10">
      <c r="A10" s="27" t="inlineStr">
        <is>
          <t>3300.09</t>
        </is>
      </c>
      <c r="B10" s="28" t="inlineStr">
        <is>
          <t>Wardrobe Supervisor</t>
        </is>
      </c>
      <c r="C10" s="27" t="inlineStr">
        <is>
          <t>[DEAL]</t>
        </is>
      </c>
      <c r="D10" s="29" t="n"/>
      <c r="E10" s="29" t="n"/>
      <c r="F10" s="29" t="n"/>
      <c r="G10" s="29" t="n"/>
      <c r="H10" s="29" t="n"/>
      <c r="I10" s="29" t="n"/>
      <c r="J10" s="29" t="n"/>
      <c r="K10" s="29" t="n"/>
      <c r="L10" s="29" t="n"/>
      <c r="M10" s="29" t="n"/>
      <c r="N10" s="29" t="n"/>
      <c r="O10" s="30" t="inlineStr">
        <is>
          <t>DEAL</t>
        </is>
      </c>
    </row>
    <row r="11">
      <c r="A11" s="27" t="inlineStr">
        <is>
          <t>3300.10</t>
        </is>
      </c>
      <c r="B11" s="28" t="inlineStr">
        <is>
          <t>Costumer(s)</t>
        </is>
      </c>
      <c r="C11" s="27" t="inlineStr">
        <is>
          <t>[DEAL]</t>
        </is>
      </c>
      <c r="D11" s="29" t="n"/>
      <c r="E11" s="29" t="n"/>
      <c r="F11" s="29" t="n"/>
      <c r="G11" s="29" t="n"/>
      <c r="H11" s="29" t="n"/>
      <c r="I11" s="29" t="n"/>
      <c r="J11" s="29" t="n"/>
      <c r="K11" s="29" t="n"/>
      <c r="L11" s="29" t="n"/>
      <c r="M11" s="29" t="n"/>
      <c r="N11" s="29" t="n"/>
      <c r="O11" s="30" t="inlineStr">
        <is>
          <t>DEAL</t>
        </is>
      </c>
    </row>
    <row r="12">
      <c r="A12" s="27" t="inlineStr">
        <is>
          <t>3300.11</t>
        </is>
      </c>
      <c r="B12" s="28" t="inlineStr">
        <is>
          <t>Wardrobe Rental</t>
        </is>
      </c>
      <c r="C12" s="27" t="inlineStr">
        <is>
          <t>[DEAL]</t>
        </is>
      </c>
      <c r="D12" s="29" t="n"/>
      <c r="E12" s="29" t="n"/>
      <c r="F12" s="29" t="n"/>
      <c r="G12" s="29" t="n"/>
      <c r="H12" s="29" t="n"/>
      <c r="I12" s="29" t="n"/>
      <c r="J12" s="29" t="n"/>
      <c r="K12" s="29" t="n"/>
      <c r="L12" s="29" t="n"/>
      <c r="M12" s="29" t="n"/>
      <c r="N12" s="29" t="n"/>
      <c r="O12" s="30" t="inlineStr">
        <is>
          <t>DEAL</t>
        </is>
      </c>
    </row>
    <row r="13">
      <c r="A13" s="27" t="inlineStr">
        <is>
          <t>3300.12</t>
        </is>
      </c>
      <c r="B13" s="28" t="inlineStr">
        <is>
          <t>Wardrobe Purchases</t>
        </is>
      </c>
      <c r="C13" s="27" t="inlineStr">
        <is>
          <t>[DEAL]</t>
        </is>
      </c>
      <c r="D13" s="29" t="n"/>
      <c r="E13" s="29" t="n"/>
      <c r="F13" s="29" t="n"/>
      <c r="G13" s="29" t="n"/>
      <c r="H13" s="29" t="n"/>
      <c r="I13" s="29" t="n"/>
      <c r="J13" s="29" t="n"/>
      <c r="K13" s="29" t="n"/>
      <c r="L13" s="29" t="n"/>
      <c r="M13" s="29" t="n"/>
      <c r="N13" s="29" t="n"/>
      <c r="O13" s="30" t="inlineStr">
        <is>
          <t>DEAL</t>
        </is>
      </c>
    </row>
    <row r="14">
      <c r="A14" s="27" t="inlineStr">
        <is>
          <t>3300.13</t>
        </is>
      </c>
      <c r="B14" s="28" t="inlineStr">
        <is>
          <t>Dry cleaning / laundry</t>
        </is>
      </c>
      <c r="C14" s="27" t="inlineStr">
        <is>
          <t>[DEAL]</t>
        </is>
      </c>
      <c r="D14" s="29" t="n"/>
      <c r="E14" s="29" t="n"/>
      <c r="F14" s="29" t="n"/>
      <c r="G14" s="29" t="n"/>
      <c r="H14" s="29" t="n"/>
      <c r="I14" s="29" t="n"/>
      <c r="J14" s="29" t="n"/>
      <c r="K14" s="29" t="n"/>
      <c r="L14" s="29" t="n"/>
      <c r="M14" s="29" t="n"/>
      <c r="N14" s="29" t="n"/>
      <c r="O14"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3400.01</t>
        </is>
      </c>
      <c r="B2" s="24" t="inlineStr">
        <is>
          <t>Continuity makeup — tears/weeping, Charlie and Henry exterior movie theater scene</t>
        </is>
      </c>
      <c r="C2" s="5" t="n">
        <v>1</v>
      </c>
      <c r="D2" s="5" t="inlineStr">
        <is>
          <t>Days</t>
        </is>
      </c>
      <c r="E2" s="31" t="n"/>
      <c r="F2" s="6">
        <f>IFERROR(C2*D2*E2,"")</f>
        <v/>
      </c>
      <c r="H2" s="6">
        <f>IFERROR(F2+(F2*G2),"")</f>
        <v/>
      </c>
      <c r="K2" s="32" t="n">
        <v>6</v>
      </c>
      <c r="L2" s="33" t="inlineStr">
        <is>
          <t>He and Henry exit a movie theater. Both of them are crying.</t>
        </is>
      </c>
      <c r="M2" s="24" t="inlineStr">
        <is>
          <t>Both Charlie and Henry are described as crying on camera. Glycerin drops and repeated touch-up application required for matching continuity across takes. Two performers affected — budget for dual application.</t>
        </is>
      </c>
      <c r="N2" s="34" t="inlineStr">
        <is>
          <t>High</t>
        </is>
      </c>
      <c r="O2" s="35" t="inlineStr">
        <is>
          <t>SCRIPT</t>
        </is>
      </c>
    </row>
    <row r="3">
      <c r="A3" s="27" t="inlineStr">
        <is>
          <t>3400.02</t>
        </is>
      </c>
      <c r="B3" s="28" t="inlineStr">
        <is>
          <t>Head Makeup Artist</t>
        </is>
      </c>
      <c r="C3" s="27" t="inlineStr">
        <is>
          <t>[DEAL]</t>
        </is>
      </c>
      <c r="D3" s="29" t="n"/>
      <c r="E3" s="29" t="n"/>
      <c r="F3" s="29" t="n"/>
      <c r="G3" s="29" t="n"/>
      <c r="H3" s="29" t="n"/>
      <c r="I3" s="29" t="n"/>
      <c r="J3" s="29" t="n"/>
      <c r="K3" s="29" t="n"/>
      <c r="L3" s="29" t="n"/>
      <c r="M3" s="29" t="n"/>
      <c r="N3" s="29" t="n"/>
      <c r="O3" s="30" t="inlineStr">
        <is>
          <t>DEAL</t>
        </is>
      </c>
    </row>
    <row r="4">
      <c r="A4" s="27" t="inlineStr">
        <is>
          <t>3400.03</t>
        </is>
      </c>
      <c r="B4" s="28" t="inlineStr">
        <is>
          <t>Key Hair Stylist</t>
        </is>
      </c>
      <c r="C4" s="27" t="inlineStr">
        <is>
          <t>[DEAL]</t>
        </is>
      </c>
      <c r="D4" s="29" t="n"/>
      <c r="E4" s="29" t="n"/>
      <c r="F4" s="29" t="n"/>
      <c r="G4" s="29" t="n"/>
      <c r="H4" s="29" t="n"/>
      <c r="I4" s="29" t="n"/>
      <c r="J4" s="29" t="n"/>
      <c r="K4" s="29" t="n"/>
      <c r="L4" s="29" t="n"/>
      <c r="M4" s="29" t="n"/>
      <c r="N4" s="29" t="n"/>
      <c r="O4" s="30" t="inlineStr">
        <is>
          <t>DEAL</t>
        </is>
      </c>
    </row>
    <row r="5">
      <c r="A5" s="27" t="inlineStr">
        <is>
          <t>3400.04</t>
        </is>
      </c>
      <c r="B5" s="28" t="inlineStr">
        <is>
          <t>Additional Makeup / Hair</t>
        </is>
      </c>
      <c r="C5" s="27" t="inlineStr">
        <is>
          <t>[DEAL]</t>
        </is>
      </c>
      <c r="D5" s="29" t="n"/>
      <c r="E5" s="29" t="n"/>
      <c r="F5" s="29" t="n"/>
      <c r="G5" s="29" t="n"/>
      <c r="H5" s="29" t="n"/>
      <c r="I5" s="29" t="n"/>
      <c r="J5" s="29" t="n"/>
      <c r="K5" s="29" t="n"/>
      <c r="L5" s="29" t="n"/>
      <c r="M5" s="29" t="n"/>
      <c r="N5" s="29" t="n"/>
      <c r="O5" s="30" t="inlineStr">
        <is>
          <t>DEAL</t>
        </is>
      </c>
    </row>
    <row r="6">
      <c r="A6" s="27" t="inlineStr">
        <is>
          <t>3400.05</t>
        </is>
      </c>
      <c r="B6" s="28" t="inlineStr">
        <is>
          <t>Makeup Supplies</t>
        </is>
      </c>
      <c r="C6" s="27" t="inlineStr">
        <is>
          <t>[DEAL]</t>
        </is>
      </c>
      <c r="D6" s="29" t="n"/>
      <c r="E6" s="29" t="n"/>
      <c r="F6" s="29" t="n"/>
      <c r="G6" s="29" t="n"/>
      <c r="H6" s="29" t="n"/>
      <c r="I6" s="29" t="n"/>
      <c r="J6" s="29" t="n"/>
      <c r="K6" s="29" t="n"/>
      <c r="L6" s="29" t="n"/>
      <c r="M6" s="29" t="n"/>
      <c r="N6" s="29" t="n"/>
      <c r="O6" s="30" t="inlineStr">
        <is>
          <t>DEAL</t>
        </is>
      </c>
    </row>
  </sheetData>
  <hyperlinks>
    <hyperlink xmlns:r="http://schemas.openxmlformats.org/officeDocument/2006/relationships" ref="K2"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3500.01</t>
        </is>
      </c>
      <c r="B2" s="24" t="inlineStr">
        <is>
          <t>Location permit and fees — Flatbush Avenue, Park Slope, Brooklyn (public street/subway exterior)</t>
        </is>
      </c>
      <c r="C2" s="5" t="n">
        <v>1</v>
      </c>
      <c r="D2" s="5" t="inlineStr">
        <is>
          <t>Allow</t>
        </is>
      </c>
      <c r="E2" s="31" t="n"/>
      <c r="F2" s="6">
        <f>IFERROR(C2*D2*E2,"")</f>
        <v/>
      </c>
      <c r="H2" s="6">
        <f>IFERROR(F2+(F2*G2),"")</f>
        <v/>
      </c>
      <c r="K2" s="32" t="n">
        <v>2</v>
      </c>
      <c r="L2" s="33" t="inlineStr">
        <is>
          <t>EXT. FLATBUSH AVENUE, PARK SLOPE, BROOKLYN. DAY</t>
        </is>
      </c>
      <c r="M2" s="24" t="inlineStr">
        <is>
          <t>Exterior public street with subway exit. NYC Film Office permit required. May require street parking hold, pedestrian management, and NYPD film unit coordination.</t>
        </is>
      </c>
      <c r="N2" s="34" t="inlineStr">
        <is>
          <t>High</t>
        </is>
      </c>
      <c r="O2" s="35" t="inlineStr">
        <is>
          <t>SCRIPT</t>
        </is>
      </c>
    </row>
    <row r="3">
      <c r="A3" s="5" t="inlineStr">
        <is>
          <t>3500.02</t>
        </is>
      </c>
      <c r="B3" s="24" t="inlineStr">
        <is>
          <t>Location permit and fees — Prospect Park, Brooklyn (public park exterior)</t>
        </is>
      </c>
      <c r="C3" s="5" t="n">
        <v>1</v>
      </c>
      <c r="D3" s="5" t="inlineStr">
        <is>
          <t>Allow</t>
        </is>
      </c>
      <c r="E3" s="31" t="n"/>
      <c r="F3" s="6">
        <f>IFERROR(C3*D3*E3,"")</f>
        <v/>
      </c>
      <c r="H3" s="6">
        <f>IFERROR(F3+(F3*G3),"")</f>
        <v/>
      </c>
      <c r="K3" s="32" t="n">
        <v>3</v>
      </c>
      <c r="L3" s="33" t="inlineStr">
        <is>
          <t>EXT. PROSPECT PARK, BROOKLYN. DAY</t>
        </is>
      </c>
      <c r="M3" s="24" t="inlineStr">
        <is>
          <t>NYC Parks Department permit required in addition to NYC Film Office permit. Confirm noise and equipment restrictions.</t>
        </is>
      </c>
      <c r="N3" s="34" t="inlineStr">
        <is>
          <t>High</t>
        </is>
      </c>
      <c r="O3" s="35" t="inlineStr">
        <is>
          <t>SCRIPT</t>
        </is>
      </c>
    </row>
    <row r="4">
      <c r="A4" s="5" t="inlineStr">
        <is>
          <t>3500.03</t>
        </is>
      </c>
      <c r="B4" s="24" t="inlineStr">
        <is>
          <t>Location permit and fees — exterior movie theater, public space</t>
        </is>
      </c>
      <c r="C4" s="5" t="n">
        <v>1</v>
      </c>
      <c r="D4" s="5" t="inlineStr">
        <is>
          <t>Allow</t>
        </is>
      </c>
      <c r="E4" s="31" t="n"/>
      <c r="F4" s="6">
        <f>IFERROR(C4*D4*E4,"")</f>
        <v/>
      </c>
      <c r="H4" s="6">
        <f>IFERROR(F4+(F4*G4),"")</f>
        <v/>
      </c>
      <c r="K4" s="32" t="n">
        <v>6</v>
      </c>
      <c r="L4" s="33" t="inlineStr">
        <is>
          <t>EXT. MOVIE THEATER. DAY</t>
        </is>
      </c>
      <c r="M4" s="24" t="inlineStr">
        <is>
          <t>Exterior public-facing commercial location. NYC Film Office permit required. Location scout to confirm actual venue or dressing of suitable practical location.</t>
        </is>
      </c>
      <c r="N4" s="34" t="inlineStr">
        <is>
          <t>High</t>
        </is>
      </c>
      <c r="O4" s="35" t="inlineStr">
        <is>
          <t>SCRIPT</t>
        </is>
      </c>
    </row>
    <row r="5">
      <c r="A5" s="27" t="inlineStr">
        <is>
          <t>3500.04</t>
        </is>
      </c>
      <c r="B5" s="28" t="inlineStr">
        <is>
          <t>Location Manager</t>
        </is>
      </c>
      <c r="C5" s="27" t="inlineStr">
        <is>
          <t>[DEAL]</t>
        </is>
      </c>
      <c r="D5" s="29" t="n"/>
      <c r="E5" s="29" t="n"/>
      <c r="F5" s="29" t="n"/>
      <c r="G5" s="29" t="n"/>
      <c r="H5" s="29" t="n"/>
      <c r="I5" s="29" t="n"/>
      <c r="J5" s="29" t="n"/>
      <c r="K5" s="29" t="n"/>
      <c r="L5" s="29" t="n"/>
      <c r="M5" s="29" t="n"/>
      <c r="N5" s="29" t="n"/>
      <c r="O5" s="30" t="inlineStr">
        <is>
          <t>DEAL</t>
        </is>
      </c>
    </row>
    <row r="6">
      <c r="A6" s="27" t="inlineStr">
        <is>
          <t>3500.05</t>
        </is>
      </c>
      <c r="B6" s="28" t="inlineStr">
        <is>
          <t>Location Scout / Survey</t>
        </is>
      </c>
      <c r="C6" s="27" t="inlineStr">
        <is>
          <t>[DEAL]</t>
        </is>
      </c>
      <c r="D6" s="29" t="n"/>
      <c r="E6" s="29" t="n"/>
      <c r="F6" s="29" t="n"/>
      <c r="G6" s="29" t="n"/>
      <c r="H6" s="29" t="n"/>
      <c r="I6" s="29" t="n"/>
      <c r="J6" s="29" t="n"/>
      <c r="K6" s="29" t="n"/>
      <c r="L6" s="29" t="n"/>
      <c r="M6" s="29" t="n"/>
      <c r="N6" s="29" t="n"/>
      <c r="O6" s="30" t="inlineStr">
        <is>
          <t>DEAL</t>
        </is>
      </c>
    </row>
    <row r="7">
      <c r="A7" s="27" t="inlineStr">
        <is>
          <t>3500.06</t>
        </is>
      </c>
      <c r="B7" s="28" t="inlineStr">
        <is>
          <t>Police / fire standby</t>
        </is>
      </c>
      <c r="C7" s="27" t="inlineStr">
        <is>
          <t>[DEAL]</t>
        </is>
      </c>
      <c r="D7" s="29" t="n"/>
      <c r="E7" s="29" t="n"/>
      <c r="F7" s="29" t="n"/>
      <c r="G7" s="29" t="n"/>
      <c r="H7" s="29" t="n"/>
      <c r="I7" s="29" t="n"/>
      <c r="J7" s="29" t="n"/>
      <c r="K7" s="29" t="n"/>
      <c r="L7" s="29" t="n"/>
      <c r="M7" s="29" t="n"/>
      <c r="N7" s="29" t="n"/>
      <c r="O7" s="30" t="inlineStr">
        <is>
          <t>DEAL</t>
        </is>
      </c>
    </row>
    <row r="8">
      <c r="A8" s="27" t="inlineStr">
        <is>
          <t>3500.07</t>
        </is>
      </c>
      <c r="B8" s="28" t="inlineStr">
        <is>
          <t>Catering</t>
        </is>
      </c>
      <c r="C8" s="27" t="inlineStr">
        <is>
          <t>[DEAL]</t>
        </is>
      </c>
      <c r="D8" s="29" t="n"/>
      <c r="E8" s="29" t="n"/>
      <c r="F8" s="29" t="n"/>
      <c r="G8" s="29" t="n"/>
      <c r="H8" s="29" t="n"/>
      <c r="I8" s="29" t="n"/>
      <c r="J8" s="29" t="n"/>
      <c r="K8" s="29" t="n"/>
      <c r="L8" s="29" t="n"/>
      <c r="M8" s="29" t="n"/>
      <c r="N8" s="29" t="n"/>
      <c r="O8" s="30" t="inlineStr">
        <is>
          <t>DEAL</t>
        </is>
      </c>
    </row>
    <row r="9">
      <c r="A9" s="27" t="inlineStr">
        <is>
          <t>3500.08</t>
        </is>
      </c>
      <c r="B9" s="28" t="inlineStr">
        <is>
          <t>Parking / logistics</t>
        </is>
      </c>
      <c r="C9" s="27" t="inlineStr">
        <is>
          <t>[DEAL]</t>
        </is>
      </c>
      <c r="D9" s="29" t="n"/>
      <c r="E9" s="29" t="n"/>
      <c r="F9" s="29" t="n"/>
      <c r="G9" s="29" t="n"/>
      <c r="H9" s="29" t="n"/>
      <c r="I9" s="29" t="n"/>
      <c r="J9" s="29" t="n"/>
      <c r="K9" s="29" t="n"/>
      <c r="L9" s="29" t="n"/>
      <c r="M9" s="29" t="n"/>
      <c r="N9" s="29" t="n"/>
      <c r="O9" s="30" t="inlineStr">
        <is>
          <t>DEAL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3600.01</t>
        </is>
      </c>
      <c r="B2" s="28" t="inlineStr">
        <is>
          <t>Transportation Coordinator</t>
        </is>
      </c>
      <c r="C2" s="27" t="inlineStr">
        <is>
          <t>[SCHEDULE]</t>
        </is>
      </c>
      <c r="D2" s="29" t="n"/>
      <c r="E2" s="29" t="n"/>
      <c r="F2" s="29" t="n"/>
      <c r="G2" s="29" t="n"/>
      <c r="H2" s="29" t="n"/>
      <c r="I2" s="29" t="n"/>
      <c r="J2" s="29" t="n"/>
      <c r="K2" s="29" t="n"/>
      <c r="L2" s="29" t="n"/>
      <c r="M2" s="29" t="n"/>
      <c r="N2" s="29" t="n"/>
      <c r="O2" s="36" t="inlineStr">
        <is>
          <t>SCHEDULE</t>
        </is>
      </c>
    </row>
    <row r="3">
      <c r="A3" s="27" t="inlineStr">
        <is>
          <t>3600.02</t>
        </is>
      </c>
      <c r="B3" s="28" t="inlineStr">
        <is>
          <t>Captain Driver</t>
        </is>
      </c>
      <c r="C3" s="27" t="inlineStr">
        <is>
          <t>[SCHEDULE]</t>
        </is>
      </c>
      <c r="D3" s="29" t="n"/>
      <c r="E3" s="29" t="n"/>
      <c r="F3" s="29" t="n"/>
      <c r="G3" s="29" t="n"/>
      <c r="H3" s="29" t="n"/>
      <c r="I3" s="29" t="n"/>
      <c r="J3" s="29" t="n"/>
      <c r="K3" s="29" t="n"/>
      <c r="L3" s="29" t="n"/>
      <c r="M3" s="29" t="n"/>
      <c r="N3" s="29" t="n"/>
      <c r="O3" s="36" t="inlineStr">
        <is>
          <t>SCHEDULE</t>
        </is>
      </c>
    </row>
    <row r="4">
      <c r="A4" s="27" t="inlineStr">
        <is>
          <t>3600.03</t>
        </is>
      </c>
      <c r="B4" s="28" t="inlineStr">
        <is>
          <t>Drivers</t>
        </is>
      </c>
      <c r="C4" s="27" t="inlineStr">
        <is>
          <t>[SCHEDULE]</t>
        </is>
      </c>
      <c r="D4" s="29" t="n"/>
      <c r="E4" s="29" t="n"/>
      <c r="F4" s="29" t="n"/>
      <c r="G4" s="29" t="n"/>
      <c r="H4" s="29" t="n"/>
      <c r="I4" s="29" t="n"/>
      <c r="J4" s="29" t="n"/>
      <c r="K4" s="29" t="n"/>
      <c r="L4" s="29" t="n"/>
      <c r="M4" s="29" t="n"/>
      <c r="N4" s="29" t="n"/>
      <c r="O4" s="36" t="inlineStr">
        <is>
          <t>SCHEDULE</t>
        </is>
      </c>
    </row>
    <row r="5">
      <c r="A5" s="27" t="inlineStr">
        <is>
          <t>3600.04</t>
        </is>
      </c>
      <c r="B5" s="28" t="inlineStr">
        <is>
          <t>Production vehicles (trucks / vans)</t>
        </is>
      </c>
      <c r="C5" s="27" t="inlineStr">
        <is>
          <t>[DEAL]</t>
        </is>
      </c>
      <c r="D5" s="29" t="n"/>
      <c r="E5" s="29" t="n"/>
      <c r="F5" s="29" t="n"/>
      <c r="G5" s="29" t="n"/>
      <c r="H5" s="29" t="n"/>
      <c r="I5" s="29" t="n"/>
      <c r="J5" s="29" t="n"/>
      <c r="K5" s="29" t="n"/>
      <c r="L5" s="29" t="n"/>
      <c r="M5" s="29" t="n"/>
      <c r="N5" s="29" t="n"/>
      <c r="O5" s="30" t="inlineStr">
        <is>
          <t>DEAL</t>
        </is>
      </c>
    </row>
    <row r="6">
      <c r="A6" s="27" t="inlineStr">
        <is>
          <t>3600.05</t>
        </is>
      </c>
      <c r="B6" s="28" t="inlineStr">
        <is>
          <t>Honeywagon / basecamp</t>
        </is>
      </c>
      <c r="C6" s="27" t="inlineStr">
        <is>
          <t>[DEAL]</t>
        </is>
      </c>
      <c r="D6" s="29" t="n"/>
      <c r="E6" s="29" t="n"/>
      <c r="F6" s="29" t="n"/>
      <c r="G6" s="29" t="n"/>
      <c r="H6" s="29" t="n"/>
      <c r="I6" s="29" t="n"/>
      <c r="J6" s="29" t="n"/>
      <c r="K6" s="29" t="n"/>
      <c r="L6" s="29" t="n"/>
      <c r="M6" s="29" t="n"/>
      <c r="N6" s="29" t="n"/>
      <c r="O6" s="30" t="inlineStr">
        <is>
          <t>DEAL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3800.01</t>
        </is>
      </c>
      <c r="B2" s="28" t="inlineStr">
        <is>
          <t>Stage rental</t>
        </is>
      </c>
      <c r="C2" s="27" t="inlineStr">
        <is>
          <t>[DEAL]</t>
        </is>
      </c>
      <c r="D2" s="29" t="n"/>
      <c r="E2" s="29" t="n"/>
      <c r="F2" s="29" t="n"/>
      <c r="G2" s="29" t="n"/>
      <c r="H2" s="29" t="n"/>
      <c r="I2" s="29" t="n"/>
      <c r="J2" s="29" t="n"/>
      <c r="K2" s="29" t="n"/>
      <c r="L2" s="29" t="n"/>
      <c r="M2" s="29" t="n"/>
      <c r="N2" s="29" t="n"/>
      <c r="O2" s="30" t="inlineStr">
        <is>
          <t>DEAL</t>
        </is>
      </c>
    </row>
    <row r="3">
      <c r="A3" s="27" t="inlineStr">
        <is>
          <t>3800.02</t>
        </is>
      </c>
      <c r="B3" s="28" t="inlineStr">
        <is>
          <t>Back lot rental</t>
        </is>
      </c>
      <c r="C3" s="27" t="inlineStr">
        <is>
          <t>[DEAL]</t>
        </is>
      </c>
      <c r="D3" s="29" t="n"/>
      <c r="E3" s="29" t="n"/>
      <c r="F3" s="29" t="n"/>
      <c r="G3" s="29" t="n"/>
      <c r="H3" s="29" t="n"/>
      <c r="I3" s="29" t="n"/>
      <c r="J3" s="29" t="n"/>
      <c r="K3" s="29" t="n"/>
      <c r="L3" s="29" t="n"/>
      <c r="M3" s="29" t="n"/>
      <c r="N3" s="29" t="n"/>
      <c r="O3" s="30" t="inlineStr">
        <is>
          <t>DEAL</t>
        </is>
      </c>
    </row>
    <row r="4">
      <c r="A4" s="27" t="inlineStr">
        <is>
          <t>3800.03</t>
        </is>
      </c>
      <c r="B4" s="28" t="inlineStr">
        <is>
          <t>Electric power (stage)</t>
        </is>
      </c>
      <c r="C4" s="27" t="inlineStr">
        <is>
          <t>[DEAL]</t>
        </is>
      </c>
      <c r="D4" s="29" t="n"/>
      <c r="E4" s="29" t="n"/>
      <c r="F4" s="29" t="n"/>
      <c r="G4" s="29" t="n"/>
      <c r="H4" s="29" t="n"/>
      <c r="I4" s="29" t="n"/>
      <c r="J4" s="29" t="n"/>
      <c r="K4" s="29" t="n"/>
      <c r="L4" s="29" t="n"/>
      <c r="M4" s="29" t="n"/>
      <c r="N4" s="29" t="n"/>
      <c r="O4" s="30" t="inlineStr">
        <is>
          <t>DEAL</t>
        </is>
      </c>
    </row>
    <row r="5">
      <c r="A5" s="27" t="inlineStr">
        <is>
          <t>3800.04</t>
        </is>
      </c>
      <c r="B5" s="28" t="inlineStr">
        <is>
          <t>Heating / AC</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5" t="inlineStr">
        <is>
          <t>3900.01</t>
        </is>
      </c>
      <c r="B2" s="24" t="inlineStr">
        <is>
          <t>Background extras — theater cast party, dancing guests</t>
        </is>
      </c>
      <c r="C2" s="5" t="n">
        <v>10</v>
      </c>
      <c r="D2" s="5" t="inlineStr">
        <is>
          <t>Days</t>
        </is>
      </c>
      <c r="E2" s="31" t="n"/>
      <c r="F2" s="6">
        <f>IFERROR(C2*D2*E2,"")</f>
        <v/>
      </c>
      <c r="H2" s="6">
        <f>IFERROR(F2+(F2*G2),"")</f>
        <v/>
      </c>
      <c r="K2" s="32" t="n">
        <v>4</v>
      </c>
      <c r="L2" s="33" t="inlineStr">
        <is>
          <t>Nicole putting on a song and getting people to dance at a cast party.</t>
        </is>
      </c>
      <c r="M2" s="24" t="inlineStr">
        <is>
          <t>Cast party scene implies a group of theater company members dancing. Estimated 10 background performers minimum; confirm with director. Period-contemporary wardrobe required — coordinate with Wardrobe dept.</t>
        </is>
      </c>
      <c r="N2" s="37" t="inlineStr">
        <is>
          <t>Medium</t>
        </is>
      </c>
      <c r="O2" s="35" t="inlineStr">
        <is>
          <t>SCRIPT</t>
        </is>
      </c>
    </row>
    <row r="3">
      <c r="A3" s="5" t="inlineStr">
        <is>
          <t>3900.02</t>
        </is>
      </c>
      <c r="B3" s="24" t="inlineStr">
        <is>
          <t>Background extras — theater rehearsal, male actor climbed by Nicole</t>
        </is>
      </c>
      <c r="C3" s="5" t="n">
        <v>1</v>
      </c>
      <c r="D3" s="5" t="inlineStr">
        <is>
          <t>Days</t>
        </is>
      </c>
      <c r="E3" s="31" t="n"/>
      <c r="F3" s="6">
        <f>IFERROR(C3*D3*E3,"")</f>
        <v/>
      </c>
      <c r="H3" s="6">
        <f>IFERROR(F3+(F3*G3),"")</f>
        <v/>
      </c>
      <c r="K3" s="32" t="n">
        <v>5</v>
      </c>
      <c r="L3" s="33" t="inlineStr">
        <is>
          <t>She walks across the floor and climbs (scales like a rockface) the body of a male actor.</t>
        </is>
      </c>
      <c r="M3" s="24" t="inlineStr">
        <is>
          <t>At minimum one featured male background/supporting actor is required as the physical body Nicole climbs. This performer may qualify as a day-player or featured extra depending on whether they have scripted action beyond being climbed. Stunt Coordinator should assess physical contact requirements.</t>
        </is>
      </c>
      <c r="N3" s="34" t="inlineStr">
        <is>
          <t>High</t>
        </is>
      </c>
      <c r="O3" s="35" t="inlineStr">
        <is>
          <t>SCRIPT</t>
        </is>
      </c>
    </row>
    <row r="4">
      <c r="A4" s="27" t="inlineStr">
        <is>
          <t>3900.03</t>
        </is>
      </c>
      <c r="B4" s="28" t="inlineStr">
        <is>
          <t>Extras Casting fee</t>
        </is>
      </c>
      <c r="C4" s="27" t="inlineStr">
        <is>
          <t>[DEAL]</t>
        </is>
      </c>
      <c r="D4" s="29" t="n"/>
      <c r="E4" s="29" t="n"/>
      <c r="F4" s="29" t="n"/>
      <c r="G4" s="29" t="n"/>
      <c r="H4" s="29" t="n"/>
      <c r="I4" s="29" t="n"/>
      <c r="J4" s="29" t="n"/>
      <c r="K4" s="29" t="n"/>
      <c r="L4" s="29" t="n"/>
      <c r="M4" s="29" t="n"/>
      <c r="N4" s="29" t="n"/>
      <c r="O4" s="30" t="inlineStr">
        <is>
          <t>DEAL</t>
        </is>
      </c>
    </row>
    <row r="5">
      <c r="A5" s="27" t="inlineStr">
        <is>
          <t>3900.04</t>
        </is>
      </c>
      <c r="B5" s="28" t="inlineStr">
        <is>
          <t>Stand-ins</t>
        </is>
      </c>
      <c r="C5" s="27" t="inlineStr">
        <is>
          <t>[SCHEDULE]</t>
        </is>
      </c>
      <c r="D5" s="29" t="n"/>
      <c r="E5" s="29" t="n"/>
      <c r="F5" s="29" t="n"/>
      <c r="G5" s="29" t="n"/>
      <c r="H5" s="29" t="n"/>
      <c r="I5" s="29" t="n"/>
      <c r="J5" s="29" t="n"/>
      <c r="K5" s="29" t="n"/>
      <c r="L5" s="29" t="n"/>
      <c r="M5" s="29" t="n"/>
      <c r="N5" s="29" t="n"/>
      <c r="O5" s="36" t="inlineStr">
        <is>
          <t>SCHEDULE</t>
        </is>
      </c>
    </row>
    <row r="6">
      <c r="A6" s="27" t="inlineStr">
        <is>
          <t>3900.05</t>
        </is>
      </c>
      <c r="B6" s="28" t="inlineStr">
        <is>
          <t>Welfare Worker / Teacher (minors)</t>
        </is>
      </c>
      <c r="C6" s="27" t="inlineStr">
        <is>
          <t>[DEAL]</t>
        </is>
      </c>
      <c r="D6" s="29" t="n"/>
      <c r="E6" s="29" t="n"/>
      <c r="F6" s="29" t="n"/>
      <c r="G6" s="29" t="n"/>
      <c r="H6" s="29" t="n"/>
      <c r="I6" s="29" t="n"/>
      <c r="J6" s="29" t="n"/>
      <c r="K6" s="29" t="n"/>
      <c r="L6" s="29" t="n"/>
      <c r="M6" s="29" t="n"/>
      <c r="N6" s="29" t="n"/>
      <c r="O6" s="30" t="inlineStr">
        <is>
          <t>DEAL</t>
        </is>
      </c>
    </row>
  </sheetData>
  <hyperlinks>
    <hyperlink xmlns:r="http://schemas.openxmlformats.org/officeDocument/2006/relationships" ref="K2" r:id="rId1"/>
    <hyperlink xmlns:r="http://schemas.openxmlformats.org/officeDocument/2006/relationships" ref="K3"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5100.01</t>
        </is>
      </c>
      <c r="B2" s="28" t="inlineStr">
        <is>
          <t>Post Production Supervisor</t>
        </is>
      </c>
      <c r="C2" s="27" t="inlineStr">
        <is>
          <t>[DEAL]</t>
        </is>
      </c>
      <c r="D2" s="29" t="n"/>
      <c r="E2" s="29" t="n"/>
      <c r="F2" s="29" t="n"/>
      <c r="G2" s="29" t="n"/>
      <c r="H2" s="29" t="n"/>
      <c r="I2" s="29" t="n"/>
      <c r="J2" s="29" t="n"/>
      <c r="K2" s="29" t="n"/>
      <c r="L2" s="29" t="n"/>
      <c r="M2" s="29" t="n"/>
      <c r="N2" s="29" t="n"/>
      <c r="O2" s="30" t="inlineStr">
        <is>
          <t>DEAL</t>
        </is>
      </c>
    </row>
    <row r="3">
      <c r="A3" s="27" t="inlineStr">
        <is>
          <t>5100.02</t>
        </is>
      </c>
      <c r="B3" s="28" t="inlineStr">
        <is>
          <t>Editor</t>
        </is>
      </c>
      <c r="C3" s="27" t="inlineStr">
        <is>
          <t>[DEAL]</t>
        </is>
      </c>
      <c r="D3" s="29" t="n"/>
      <c r="E3" s="29" t="n"/>
      <c r="F3" s="29" t="n"/>
      <c r="G3" s="29" t="n"/>
      <c r="H3" s="29" t="n"/>
      <c r="I3" s="29" t="n"/>
      <c r="J3" s="29" t="n"/>
      <c r="K3" s="29" t="n"/>
      <c r="L3" s="29" t="n"/>
      <c r="M3" s="29" t="n"/>
      <c r="N3" s="29" t="n"/>
      <c r="O3" s="30" t="inlineStr">
        <is>
          <t>DEAL</t>
        </is>
      </c>
    </row>
    <row r="4">
      <c r="A4" s="27" t="inlineStr">
        <is>
          <t>5100.03</t>
        </is>
      </c>
      <c r="B4" s="28" t="inlineStr">
        <is>
          <t>Assistant Editor(s)</t>
        </is>
      </c>
      <c r="C4" s="27" t="inlineStr">
        <is>
          <t>[DEAL]</t>
        </is>
      </c>
      <c r="D4" s="29" t="n"/>
      <c r="E4" s="29" t="n"/>
      <c r="F4" s="29" t="n"/>
      <c r="G4" s="29" t="n"/>
      <c r="H4" s="29" t="n"/>
      <c r="I4" s="29" t="n"/>
      <c r="J4" s="29" t="n"/>
      <c r="K4" s="29" t="n"/>
      <c r="L4" s="29" t="n"/>
      <c r="M4" s="29" t="n"/>
      <c r="N4" s="29" t="n"/>
      <c r="O4" s="30" t="inlineStr">
        <is>
          <t>DEAL</t>
        </is>
      </c>
    </row>
    <row r="5">
      <c r="A5" s="27" t="inlineStr">
        <is>
          <t>5100.04</t>
        </is>
      </c>
      <c r="B5" s="28" t="inlineStr">
        <is>
          <t>Editing Room / Avid rental</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5200.01</t>
        </is>
      </c>
      <c r="B2" s="28" t="inlineStr">
        <is>
          <t>Color grading &amp; Digital Intermediate</t>
        </is>
      </c>
      <c r="C2" s="27" t="inlineStr">
        <is>
          <t>[DEAL]</t>
        </is>
      </c>
      <c r="D2" s="29" t="n"/>
      <c r="E2" s="29" t="n"/>
      <c r="F2" s="29" t="n"/>
      <c r="G2" s="29" t="n"/>
      <c r="H2" s="29" t="n"/>
      <c r="I2" s="29" t="n"/>
      <c r="J2" s="29" t="n"/>
      <c r="K2" s="29" t="n"/>
      <c r="L2" s="29" t="n"/>
      <c r="M2" s="29" t="n"/>
      <c r="N2" s="29" t="n"/>
      <c r="O2" s="30" t="inlineStr">
        <is>
          <t>DEAL</t>
        </is>
      </c>
    </row>
    <row r="3">
      <c r="A3" s="27" t="inlineStr">
        <is>
          <t>5200.02</t>
        </is>
      </c>
      <c r="B3" s="28" t="inlineStr">
        <is>
          <t>Digital deliverables</t>
        </is>
      </c>
      <c r="C3" s="27" t="inlineStr">
        <is>
          <t>[DEAL]</t>
        </is>
      </c>
      <c r="D3" s="29" t="n"/>
      <c r="E3" s="29" t="n"/>
      <c r="F3" s="29" t="n"/>
      <c r="G3" s="29" t="n"/>
      <c r="H3" s="29" t="n"/>
      <c r="I3" s="29" t="n"/>
      <c r="J3" s="29" t="n"/>
      <c r="K3" s="29" t="n"/>
      <c r="L3" s="29" t="n"/>
      <c r="M3" s="29" t="n"/>
      <c r="N3" s="29" t="n"/>
      <c r="O3" s="30" t="inlineStr">
        <is>
          <t>DEAL</t>
        </is>
      </c>
    </row>
    <row r="4">
      <c r="A4" s="27" t="inlineStr">
        <is>
          <t>5200.03</t>
        </is>
      </c>
      <c r="B4" s="28" t="inlineStr">
        <is>
          <t>Archival / backup</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5300.01</t>
        </is>
      </c>
      <c r="B2" s="28" t="inlineStr">
        <is>
          <t>Sound Designer</t>
        </is>
      </c>
      <c r="C2" s="27" t="inlineStr">
        <is>
          <t>[DEAL]</t>
        </is>
      </c>
      <c r="D2" s="29" t="n"/>
      <c r="E2" s="29" t="n"/>
      <c r="F2" s="29" t="n"/>
      <c r="G2" s="29" t="n"/>
      <c r="H2" s="29" t="n"/>
      <c r="I2" s="29" t="n"/>
      <c r="J2" s="29" t="n"/>
      <c r="K2" s="29" t="n"/>
      <c r="L2" s="29" t="n"/>
      <c r="M2" s="29" t="n"/>
      <c r="N2" s="29" t="n"/>
      <c r="O2" s="30" t="inlineStr">
        <is>
          <t>DEAL</t>
        </is>
      </c>
    </row>
    <row r="3">
      <c r="A3" s="27" t="inlineStr">
        <is>
          <t>5300.02</t>
        </is>
      </c>
      <c r="B3" s="28" t="inlineStr">
        <is>
          <t>Foley Artist + Studio</t>
        </is>
      </c>
      <c r="C3" s="27" t="inlineStr">
        <is>
          <t>[DEAL]</t>
        </is>
      </c>
      <c r="D3" s="29" t="n"/>
      <c r="E3" s="29" t="n"/>
      <c r="F3" s="29" t="n"/>
      <c r="G3" s="29" t="n"/>
      <c r="H3" s="29" t="n"/>
      <c r="I3" s="29" t="n"/>
      <c r="J3" s="29" t="n"/>
      <c r="K3" s="29" t="n"/>
      <c r="L3" s="29" t="n"/>
      <c r="M3" s="29" t="n"/>
      <c r="N3" s="29" t="n"/>
      <c r="O3" s="30" t="inlineStr">
        <is>
          <t>DEAL</t>
        </is>
      </c>
    </row>
    <row r="4">
      <c r="A4" s="27" t="inlineStr">
        <is>
          <t>5300.03</t>
        </is>
      </c>
      <c r="B4" s="28" t="inlineStr">
        <is>
          <t>ADR / Looping</t>
        </is>
      </c>
      <c r="C4" s="27" t="inlineStr">
        <is>
          <t>[DEAL]</t>
        </is>
      </c>
      <c r="D4" s="29" t="n"/>
      <c r="E4" s="29" t="n"/>
      <c r="F4" s="29" t="n"/>
      <c r="G4" s="29" t="n"/>
      <c r="H4" s="29" t="n"/>
      <c r="I4" s="29" t="n"/>
      <c r="J4" s="29" t="n"/>
      <c r="K4" s="29" t="n"/>
      <c r="L4" s="29" t="n"/>
      <c r="M4" s="29" t="n"/>
      <c r="N4" s="29" t="n"/>
      <c r="O4" s="30" t="inlineStr">
        <is>
          <t>DEAL</t>
        </is>
      </c>
    </row>
    <row r="5">
      <c r="A5" s="27" t="inlineStr">
        <is>
          <t>5300.04</t>
        </is>
      </c>
      <c r="B5" s="28" t="inlineStr">
        <is>
          <t>Final Mix</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5400.01</t>
        </is>
      </c>
      <c r="B2" s="28" t="inlineStr">
        <is>
          <t>Composer fee</t>
        </is>
      </c>
      <c r="C2" s="27" t="inlineStr">
        <is>
          <t>[DEAL]</t>
        </is>
      </c>
      <c r="D2" s="29" t="n"/>
      <c r="E2" s="29" t="n"/>
      <c r="F2" s="29" t="n"/>
      <c r="G2" s="29" t="n"/>
      <c r="H2" s="29" t="n"/>
      <c r="I2" s="29" t="n"/>
      <c r="J2" s="29" t="n"/>
      <c r="K2" s="29" t="n"/>
      <c r="L2" s="29" t="n"/>
      <c r="M2" s="29" t="n"/>
      <c r="N2" s="29" t="n"/>
      <c r="O2" s="30" t="inlineStr">
        <is>
          <t>DEAL</t>
        </is>
      </c>
    </row>
    <row r="3">
      <c r="A3" s="27" t="inlineStr">
        <is>
          <t>5400.02</t>
        </is>
      </c>
      <c r="B3" s="28" t="inlineStr">
        <is>
          <t>Musicians / orchestration</t>
        </is>
      </c>
      <c r="C3" s="27" t="inlineStr">
        <is>
          <t>[DEAL]</t>
        </is>
      </c>
      <c r="D3" s="29" t="n"/>
      <c r="E3" s="29" t="n"/>
      <c r="F3" s="29" t="n"/>
      <c r="G3" s="29" t="n"/>
      <c r="H3" s="29" t="n"/>
      <c r="I3" s="29" t="n"/>
      <c r="J3" s="29" t="n"/>
      <c r="K3" s="29" t="n"/>
      <c r="L3" s="29" t="n"/>
      <c r="M3" s="29" t="n"/>
      <c r="N3" s="29" t="n"/>
      <c r="O3" s="30" t="inlineStr">
        <is>
          <t>DEAL</t>
        </is>
      </c>
    </row>
    <row r="4">
      <c r="A4" s="27" t="inlineStr">
        <is>
          <t>5400.03</t>
        </is>
      </c>
      <c r="B4" s="28" t="inlineStr">
        <is>
          <t>Music rights / licensing</t>
        </is>
      </c>
      <c r="C4" s="27" t="inlineStr">
        <is>
          <t>[DEAL]</t>
        </is>
      </c>
      <c r="D4" s="29" t="n"/>
      <c r="E4" s="29" t="n"/>
      <c r="F4" s="29" t="n"/>
      <c r="G4" s="29" t="n"/>
      <c r="H4" s="29" t="n"/>
      <c r="I4" s="29" t="n"/>
      <c r="J4" s="29" t="n"/>
      <c r="K4" s="29" t="n"/>
      <c r="L4" s="29" t="n"/>
      <c r="M4" s="29" t="n"/>
      <c r="N4" s="29" t="n"/>
      <c r="O4" s="30" t="inlineStr">
        <is>
          <t>DEAL</t>
        </is>
      </c>
    </row>
    <row r="5">
      <c r="A5" s="27" t="inlineStr">
        <is>
          <t>5400.04</t>
        </is>
      </c>
      <c r="B5" s="28" t="inlineStr">
        <is>
          <t>Score recording studio</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5500.01</t>
        </is>
      </c>
      <c r="B2" s="28" t="inlineStr">
        <is>
          <t>Main titles design</t>
        </is>
      </c>
      <c r="C2" s="27" t="inlineStr">
        <is>
          <t>[DEAL]</t>
        </is>
      </c>
      <c r="D2" s="29" t="n"/>
      <c r="E2" s="29" t="n"/>
      <c r="F2" s="29" t="n"/>
      <c r="G2" s="29" t="n"/>
      <c r="H2" s="29" t="n"/>
      <c r="I2" s="29" t="n"/>
      <c r="J2" s="29" t="n"/>
      <c r="K2" s="29" t="n"/>
      <c r="L2" s="29" t="n"/>
      <c r="M2" s="29" t="n"/>
      <c r="N2" s="29" t="n"/>
      <c r="O2" s="30" t="inlineStr">
        <is>
          <t>DEAL</t>
        </is>
      </c>
    </row>
    <row r="3">
      <c r="A3" s="27" t="inlineStr">
        <is>
          <t>5500.02</t>
        </is>
      </c>
      <c r="B3" s="28" t="inlineStr">
        <is>
          <t>End credits</t>
        </is>
      </c>
      <c r="C3" s="27" t="inlineStr">
        <is>
          <t>[DEAL]</t>
        </is>
      </c>
      <c r="D3" s="29" t="n"/>
      <c r="E3" s="29" t="n"/>
      <c r="F3" s="29" t="n"/>
      <c r="G3" s="29" t="n"/>
      <c r="H3" s="29" t="n"/>
      <c r="I3" s="29" t="n"/>
      <c r="J3" s="29" t="n"/>
      <c r="K3" s="29" t="n"/>
      <c r="L3" s="29" t="n"/>
      <c r="M3" s="29" t="n"/>
      <c r="N3" s="29" t="n"/>
      <c r="O3" s="30" t="inlineStr">
        <is>
          <t>DEAL</t>
        </is>
      </c>
    </row>
    <row r="4">
      <c r="A4" s="27" t="inlineStr">
        <is>
          <t>5500.03</t>
        </is>
      </c>
      <c r="B4" s="28" t="inlineStr">
        <is>
          <t>Title card mastering</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5600.01</t>
        </is>
      </c>
      <c r="B2" s="28" t="inlineStr">
        <is>
          <t>Opticals / visual effects (post)</t>
        </is>
      </c>
      <c r="C2" s="27" t="inlineStr">
        <is>
          <t>[DEAL]</t>
        </is>
      </c>
      <c r="D2" s="29" t="n"/>
      <c r="E2" s="29" t="n"/>
      <c r="F2" s="29" t="n"/>
      <c r="G2" s="29" t="n"/>
      <c r="H2" s="29" t="n"/>
      <c r="I2" s="29" t="n"/>
      <c r="J2" s="29" t="n"/>
      <c r="K2" s="29" t="n"/>
      <c r="L2" s="29" t="n"/>
      <c r="M2" s="29" t="n"/>
      <c r="N2" s="29" t="n"/>
      <c r="O2" s="30" t="inlineStr">
        <is>
          <t>DEAL</t>
        </is>
      </c>
    </row>
    <row r="3">
      <c r="A3" s="27" t="inlineStr">
        <is>
          <t>5600.02</t>
        </is>
      </c>
      <c r="B3" s="28" t="inlineStr">
        <is>
          <t>Digital intermediate (opticals)</t>
        </is>
      </c>
      <c r="C3" s="27" t="inlineStr">
        <is>
          <t>[DEAL]</t>
        </is>
      </c>
      <c r="D3" s="29" t="n"/>
      <c r="E3" s="29" t="n"/>
      <c r="F3" s="29" t="n"/>
      <c r="G3" s="29" t="n"/>
      <c r="H3" s="29" t="n"/>
      <c r="I3" s="29" t="n"/>
      <c r="J3" s="29" t="n"/>
      <c r="K3" s="29" t="n"/>
      <c r="L3" s="29" t="n"/>
      <c r="M3" s="29" t="n"/>
      <c r="N3" s="29" t="n"/>
      <c r="O3" s="30" t="inlineStr">
        <is>
          <t>DEAL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5700.01</t>
        </is>
      </c>
      <c r="B2" s="28" t="inlineStr">
        <is>
          <t>Video deliverables / mastering</t>
        </is>
      </c>
      <c r="C2" s="27" t="inlineStr">
        <is>
          <t>[DEAL]</t>
        </is>
      </c>
      <c r="D2" s="29" t="n"/>
      <c r="E2" s="29" t="n"/>
      <c r="F2" s="29" t="n"/>
      <c r="G2" s="29" t="n"/>
      <c r="H2" s="29" t="n"/>
      <c r="I2" s="29" t="n"/>
      <c r="J2" s="29" t="n"/>
      <c r="K2" s="29" t="n"/>
      <c r="L2" s="29" t="n"/>
      <c r="M2" s="29" t="n"/>
      <c r="N2" s="29" t="n"/>
      <c r="O2" s="30" t="inlineStr">
        <is>
          <t>DEAL</t>
        </is>
      </c>
    </row>
    <row r="3">
      <c r="A3" s="27" t="inlineStr">
        <is>
          <t>5700.02</t>
        </is>
      </c>
      <c r="B3" s="28" t="inlineStr">
        <is>
          <t>Streaming / broadcast specs</t>
        </is>
      </c>
      <c r="C3" s="27" t="inlineStr">
        <is>
          <t>[DEAL]</t>
        </is>
      </c>
      <c r="D3" s="29" t="n"/>
      <c r="E3" s="29" t="n"/>
      <c r="F3" s="29" t="n"/>
      <c r="G3" s="29" t="n"/>
      <c r="H3" s="29" t="n"/>
      <c r="I3" s="29" t="n"/>
      <c r="J3" s="29" t="n"/>
      <c r="K3" s="29" t="n"/>
      <c r="L3" s="29" t="n"/>
      <c r="M3" s="29" t="n"/>
      <c r="N3" s="29" t="n"/>
      <c r="O3" s="30" t="inlineStr">
        <is>
          <t>DEAL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6100.01</t>
        </is>
      </c>
      <c r="B2" s="28" t="inlineStr">
        <is>
          <t>Cast insurance</t>
        </is>
      </c>
      <c r="C2" s="27" t="inlineStr">
        <is>
          <t>[DEAL]</t>
        </is>
      </c>
      <c r="D2" s="29" t="n"/>
      <c r="E2" s="29" t="n"/>
      <c r="F2" s="29" t="n"/>
      <c r="G2" s="29" t="n"/>
      <c r="H2" s="29" t="n"/>
      <c r="I2" s="29" t="n"/>
      <c r="J2" s="29" t="n"/>
      <c r="K2" s="29" t="n"/>
      <c r="L2" s="29" t="n"/>
      <c r="M2" s="29" t="n"/>
      <c r="N2" s="29" t="n"/>
      <c r="O2" s="30" t="inlineStr">
        <is>
          <t>DEAL</t>
        </is>
      </c>
    </row>
    <row r="3">
      <c r="A3" s="27" t="inlineStr">
        <is>
          <t>6100.02</t>
        </is>
      </c>
      <c r="B3" s="28" t="inlineStr">
        <is>
          <t>Negative / production insurance</t>
        </is>
      </c>
      <c r="C3" s="27" t="inlineStr">
        <is>
          <t>[DEAL]</t>
        </is>
      </c>
      <c r="D3" s="29" t="n"/>
      <c r="E3" s="29" t="n"/>
      <c r="F3" s="29" t="n"/>
      <c r="G3" s="29" t="n"/>
      <c r="H3" s="29" t="n"/>
      <c r="I3" s="29" t="n"/>
      <c r="J3" s="29" t="n"/>
      <c r="K3" s="29" t="n"/>
      <c r="L3" s="29" t="n"/>
      <c r="M3" s="29" t="n"/>
      <c r="N3" s="29" t="n"/>
      <c r="O3" s="30" t="inlineStr">
        <is>
          <t>DEAL</t>
        </is>
      </c>
    </row>
    <row r="4">
      <c r="A4" s="27" t="inlineStr">
        <is>
          <t>6100.03</t>
        </is>
      </c>
      <c r="B4" s="28" t="inlineStr">
        <is>
          <t>E&amp;O insurance</t>
        </is>
      </c>
      <c r="C4" s="27" t="inlineStr">
        <is>
          <t>[DEAL]</t>
        </is>
      </c>
      <c r="D4" s="29" t="n"/>
      <c r="E4" s="29" t="n"/>
      <c r="F4" s="29" t="n"/>
      <c r="G4" s="29" t="n"/>
      <c r="H4" s="29" t="n"/>
      <c r="I4" s="29" t="n"/>
      <c r="J4" s="29" t="n"/>
      <c r="K4" s="29" t="n"/>
      <c r="L4" s="29" t="n"/>
      <c r="M4" s="29" t="n"/>
      <c r="N4" s="29" t="n"/>
      <c r="O4" s="30" t="inlineStr">
        <is>
          <t>DEAL</t>
        </is>
      </c>
    </row>
    <row r="5">
      <c r="A5" s="27" t="inlineStr">
        <is>
          <t>6100.04</t>
        </is>
      </c>
      <c r="B5" s="28" t="inlineStr">
        <is>
          <t>General liability</t>
        </is>
      </c>
      <c r="C5" s="27" t="inlineStr">
        <is>
          <t>[DEAL]</t>
        </is>
      </c>
      <c r="D5" s="29" t="n"/>
      <c r="E5" s="29" t="n"/>
      <c r="F5" s="29" t="n"/>
      <c r="G5" s="29" t="n"/>
      <c r="H5" s="29" t="n"/>
      <c r="I5" s="29" t="n"/>
      <c r="J5" s="29" t="n"/>
      <c r="K5" s="29" t="n"/>
      <c r="L5" s="29" t="n"/>
      <c r="M5" s="29" t="n"/>
      <c r="N5" s="29" t="n"/>
      <c r="O5" s="30" t="inlineStr">
        <is>
          <t>DEAL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6200.01</t>
        </is>
      </c>
      <c r="B2" s="28" t="inlineStr">
        <is>
          <t>Legal fees</t>
        </is>
      </c>
      <c r="C2" s="27" t="inlineStr">
        <is>
          <t>[DEAL]</t>
        </is>
      </c>
      <c r="D2" s="29" t="n"/>
      <c r="E2" s="29" t="n"/>
      <c r="F2" s="29" t="n"/>
      <c r="G2" s="29" t="n"/>
      <c r="H2" s="29" t="n"/>
      <c r="I2" s="29" t="n"/>
      <c r="J2" s="29" t="n"/>
      <c r="K2" s="29" t="n"/>
      <c r="L2" s="29" t="n"/>
      <c r="M2" s="29" t="n"/>
      <c r="N2" s="29" t="n"/>
      <c r="O2" s="30" t="inlineStr">
        <is>
          <t>DEAL</t>
        </is>
      </c>
    </row>
    <row r="3">
      <c r="A3" s="27" t="inlineStr">
        <is>
          <t>6200.02</t>
        </is>
      </c>
      <c r="B3" s="28" t="inlineStr">
        <is>
          <t>Contract preparation</t>
        </is>
      </c>
      <c r="C3" s="27" t="inlineStr">
        <is>
          <t>[DEAL]</t>
        </is>
      </c>
      <c r="D3" s="29" t="n"/>
      <c r="E3" s="29" t="n"/>
      <c r="F3" s="29" t="n"/>
      <c r="G3" s="29" t="n"/>
      <c r="H3" s="29" t="n"/>
      <c r="I3" s="29" t="n"/>
      <c r="J3" s="29" t="n"/>
      <c r="K3" s="29" t="n"/>
      <c r="L3" s="29" t="n"/>
      <c r="M3" s="29" t="n"/>
      <c r="N3" s="29" t="n"/>
      <c r="O3" s="30" t="inlineStr">
        <is>
          <t>DEAL</t>
        </is>
      </c>
    </row>
    <row r="4">
      <c r="A4" s="27" t="inlineStr">
        <is>
          <t>6200.03</t>
        </is>
      </c>
      <c r="B4" s="28" t="inlineStr">
        <is>
          <t>Clearances / chain of title</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6300.01</t>
        </is>
      </c>
      <c r="B2" s="28" t="inlineStr">
        <is>
          <t>Unit Publicist</t>
        </is>
      </c>
      <c r="C2" s="27" t="inlineStr">
        <is>
          <t>[DEAL]</t>
        </is>
      </c>
      <c r="D2" s="29" t="n"/>
      <c r="E2" s="29" t="n"/>
      <c r="F2" s="29" t="n"/>
      <c r="G2" s="29" t="n"/>
      <c r="H2" s="29" t="n"/>
      <c r="I2" s="29" t="n"/>
      <c r="J2" s="29" t="n"/>
      <c r="K2" s="29" t="n"/>
      <c r="L2" s="29" t="n"/>
      <c r="M2" s="29" t="n"/>
      <c r="N2" s="29" t="n"/>
      <c r="O2" s="30" t="inlineStr">
        <is>
          <t>DEAL</t>
        </is>
      </c>
    </row>
    <row r="3">
      <c r="A3" s="27" t="inlineStr">
        <is>
          <t>6300.02</t>
        </is>
      </c>
      <c r="B3" s="28" t="inlineStr">
        <is>
          <t>Electronic Press Kit (EPK)</t>
        </is>
      </c>
      <c r="C3" s="27" t="inlineStr">
        <is>
          <t>[DEAL]</t>
        </is>
      </c>
      <c r="D3" s="29" t="n"/>
      <c r="E3" s="29" t="n"/>
      <c r="F3" s="29" t="n"/>
      <c r="G3" s="29" t="n"/>
      <c r="H3" s="29" t="n"/>
      <c r="I3" s="29" t="n"/>
      <c r="J3" s="29" t="n"/>
      <c r="K3" s="29" t="n"/>
      <c r="L3" s="29" t="n"/>
      <c r="M3" s="29" t="n"/>
      <c r="N3" s="29" t="n"/>
      <c r="O3" s="30" t="inlineStr">
        <is>
          <t>DEAL</t>
        </is>
      </c>
    </row>
    <row r="4">
      <c r="A4" s="27" t="inlineStr">
        <is>
          <t>6300.03</t>
        </is>
      </c>
      <c r="B4" s="28" t="inlineStr">
        <is>
          <t>Stills photographer</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4" customWidth="1" min="4" max="4"/>
    <col width="12" customWidth="1" min="5" max="5"/>
    <col width="12" customWidth="1" min="6" max="6"/>
    <col width="10" customWidth="1" min="7" max="7"/>
    <col width="12" customWidth="1" min="8" max="8"/>
    <col width="20" customWidth="1" min="9" max="9"/>
    <col width="28" customWidth="1" min="10" max="10"/>
    <col width="11" customWidth="1" min="11" max="11"/>
    <col width="35" customWidth="1" min="12" max="12"/>
    <col width="35" customWidth="1" min="13" max="13"/>
    <col width="12" customWidth="1" min="14" max="14"/>
    <col width="14" customWidth="1" min="15" max="15"/>
  </cols>
  <sheetData>
    <row r="1">
      <c r="A1" s="2" t="inlineStr">
        <is>
          <t>Account No</t>
        </is>
      </c>
      <c r="B1" s="2" t="inlineStr">
        <is>
          <t>Description</t>
        </is>
      </c>
      <c r="C1" s="2" t="inlineStr">
        <is>
          <t>Amount</t>
        </is>
      </c>
      <c r="D1" s="2" t="inlineStr">
        <is>
          <t>Unit Type</t>
        </is>
      </c>
      <c r="E1" s="2" t="inlineStr">
        <is>
          <t>Rate</t>
        </is>
      </c>
      <c r="F1" s="2" t="inlineStr">
        <is>
          <t>Subtotal</t>
        </is>
      </c>
      <c r="G1" s="2" t="inlineStr">
        <is>
          <t>Fringe %</t>
        </is>
      </c>
      <c r="H1" s="2" t="inlineStr">
        <is>
          <t>Total</t>
        </is>
      </c>
      <c r="I1" s="2" t="inlineStr">
        <is>
          <t>Vendor</t>
        </is>
      </c>
      <c r="J1" s="2" t="inlineStr">
        <is>
          <t>Vendor URL</t>
        </is>
      </c>
      <c r="K1" s="2" t="inlineStr">
        <is>
          <t>Script Page</t>
        </is>
      </c>
      <c r="L1" s="2" t="inlineStr">
        <is>
          <t>Script Quote</t>
        </is>
      </c>
      <c r="M1" s="2" t="inlineStr">
        <is>
          <t>Notes</t>
        </is>
      </c>
      <c r="N1" s="2" t="inlineStr">
        <is>
          <t>Confidence</t>
        </is>
      </c>
      <c r="O1" s="2" t="inlineStr">
        <is>
          <t>Populated By</t>
        </is>
      </c>
    </row>
    <row r="2">
      <c r="A2" s="27" t="inlineStr">
        <is>
          <t>6400.01</t>
        </is>
      </c>
      <c r="B2" s="28" t="inlineStr">
        <is>
          <t>Accounting / payroll fees</t>
        </is>
      </c>
      <c r="C2" s="27" t="inlineStr">
        <is>
          <t>[DEAL]</t>
        </is>
      </c>
      <c r="D2" s="29" t="n"/>
      <c r="E2" s="29" t="n"/>
      <c r="F2" s="29" t="n"/>
      <c r="G2" s="29" t="n"/>
      <c r="H2" s="29" t="n"/>
      <c r="I2" s="29" t="n"/>
      <c r="J2" s="29" t="n"/>
      <c r="K2" s="29" t="n"/>
      <c r="L2" s="29" t="n"/>
      <c r="M2" s="29" t="n"/>
      <c r="N2" s="29" t="n"/>
      <c r="O2" s="30" t="inlineStr">
        <is>
          <t>DEAL</t>
        </is>
      </c>
    </row>
    <row r="3">
      <c r="A3" s="27" t="inlineStr">
        <is>
          <t>6400.02</t>
        </is>
      </c>
      <c r="B3" s="28" t="inlineStr">
        <is>
          <t>Bank charges</t>
        </is>
      </c>
      <c r="C3" s="27" t="inlineStr">
        <is>
          <t>[DEAL]</t>
        </is>
      </c>
      <c r="D3" s="29" t="n"/>
      <c r="E3" s="29" t="n"/>
      <c r="F3" s="29" t="n"/>
      <c r="G3" s="29" t="n"/>
      <c r="H3" s="29" t="n"/>
      <c r="I3" s="29" t="n"/>
      <c r="J3" s="29" t="n"/>
      <c r="K3" s="29" t="n"/>
      <c r="L3" s="29" t="n"/>
      <c r="M3" s="29" t="n"/>
      <c r="N3" s="29" t="n"/>
      <c r="O3" s="30" t="inlineStr">
        <is>
          <t>DEAL</t>
        </is>
      </c>
    </row>
    <row r="4">
      <c r="A4" s="27" t="inlineStr">
        <is>
          <t>6400.03</t>
        </is>
      </c>
      <c r="B4" s="28" t="inlineStr">
        <is>
          <t>Completion bond (~2.5% of budget)</t>
        </is>
      </c>
      <c r="C4" s="27" t="inlineStr">
        <is>
          <t>[DEAL]</t>
        </is>
      </c>
      <c r="D4" s="29" t="n"/>
      <c r="E4" s="29" t="n"/>
      <c r="F4" s="29" t="n"/>
      <c r="G4" s="29" t="n"/>
      <c r="H4" s="29" t="n"/>
      <c r="I4" s="29" t="n"/>
      <c r="J4" s="29" t="n"/>
      <c r="K4" s="29" t="n"/>
      <c r="L4" s="29" t="n"/>
      <c r="M4" s="29" t="n"/>
      <c r="N4" s="29" t="n"/>
      <c r="O4" s="30" t="inlineStr">
        <is>
          <t>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2026-05-13T01:53:50Z</dcterms:created>
  <dcterms:modified xsi:type="dcterms:W3CDTF">2026-05-13T01:53:50Z</dcterms:modified>
</cp:coreProperties>
</file>
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ps" sheetId="2" state="visible" r:id="rId2"/>
    <sheet name="Wardrobe" sheetId="3" state="visible" r:id="rId3"/>
    <sheet name="Art Dept" sheetId="4" state="visible" r:id="rId4"/>
    <sheet name="Camera" sheetId="5" state="visible" r:id="rId5"/>
    <sheet name="Grip &amp; Electric" sheetId="6" state="visible" r:id="rId6"/>
    <sheet name="Locations" sheetId="7" state="visible" r:id="rId7"/>
    <sheet name="Stunts &amp; Safety" sheetId="8" state="visible" r:id="rId8"/>
    <sheet name="VFX" sheetId="9" state="visible" r:id="rId9"/>
    <sheet name="Extras" sheetId="10" state="visible" r:id="rId10"/>
    <sheet name="Transportation" sheetId="11" state="visible" r:id="rId11"/>
    <sheet name="Catering" sheetId="12" state="visible" r:id="rId12"/>
    <sheet name="Sound" sheetId="13" state="visible" r:id="rId13"/>
    <sheet name="Miscellaneou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sz val="10"/>
    </font>
    <font>
      <color rgb="00385723"/>
      <sz val="10"/>
    </font>
    <font>
      <color rgb="000563C1"/>
      <sz val="10"/>
      <u val="single"/>
    </font>
    <font>
      <i val="1"/>
      <sz val="10"/>
    </font>
    <font>
      <b val="1"/>
      <color rgb="00375623"/>
      <sz val="10"/>
    </font>
    <font>
      <b val="1"/>
      <color rgb="00974706"/>
      <sz val="10"/>
    </font>
    <font>
      <b val="1"/>
      <i val="1"/>
      <color rgb="007F6000"/>
      <sz val="10"/>
    </font>
    <font>
      <i val="1"/>
      <color rgb="007F6000"/>
      <sz val="10"/>
    </font>
    <font>
      <i val="1"/>
      <color rgb="00974706"/>
      <sz val="9"/>
    </font>
    <font>
      <b val="1"/>
      <sz val="10"/>
    </font>
    <font>
      <b val="1"/>
      <color rgb="00385723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4" fontId="13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3" fillId="3" borderId="0" applyAlignment="1" pivotButton="0" quotePrefix="0" xfId="0">
      <alignment wrapText="1"/>
    </xf>
    <xf numFmtId="164" fontId="3" fillId="3" borderId="0" pivotButton="0" quotePrefix="0" xfId="0"/>
    <xf numFmtId="164" fontId="4" fillId="3" borderId="0" pivotButton="0" quotePrefix="0" xfId="0"/>
    <xf numFmtId="0" fontId="5" fillId="3" borderId="0" pivotButton="0" quotePrefix="0" xfId="0"/>
    <xf numFmtId="0" fontId="6" fillId="3" borderId="0" applyAlignment="1" pivotButton="0" quotePrefix="0" xfId="0">
      <alignment wrapText="1"/>
    </xf>
    <xf numFmtId="0" fontId="7" fillId="3" borderId="0" pivotButton="0" quotePrefix="0" xfId="0"/>
    <xf numFmtId="1" fontId="3" fillId="3" borderId="0" pivotButton="0" quotePrefix="0" xfId="0"/>
    <xf numFmtId="0" fontId="8" fillId="3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164" fontId="3" fillId="4" borderId="0" pivotButton="0" quotePrefix="0" xfId="0"/>
    <xf numFmtId="164" fontId="4" fillId="4" borderId="0" pivotButton="0" quotePrefix="0" xfId="0"/>
    <xf numFmtId="0" fontId="5" fillId="4" borderId="0" pivotButton="0" quotePrefix="0" xfId="0"/>
    <xf numFmtId="0" fontId="6" fillId="4" borderId="0" applyAlignment="1" pivotButton="0" quotePrefix="0" xfId="0">
      <alignment wrapText="1"/>
    </xf>
    <xf numFmtId="0" fontId="7" fillId="4" borderId="0" pivotButton="0" quotePrefix="0" xfId="0"/>
    <xf numFmtId="1" fontId="3" fillId="4" borderId="0" pivotButton="0" quotePrefix="0" xfId="0"/>
    <xf numFmtId="0" fontId="0" fillId="5" borderId="0" pivotButton="0" quotePrefix="0" xfId="0"/>
    <xf numFmtId="0" fontId="9" fillId="5" borderId="0" pivotButton="0" quotePrefix="0" xfId="0"/>
    <xf numFmtId="0" fontId="10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Relationship Type="http://schemas.openxmlformats.org/officeDocument/2006/relationships/hyperlink" Target="file:///C:/Users/Becket%20Nelson/OneDrive/Claude%20Code%20Stuff/ScriptBreakdown/mock_script.pdf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</cols>
  <sheetData>
    <row r="1">
      <c r="A1" s="1" t="inlineStr">
        <is>
          <t>PRODUCTION BREAKDOWN SUMMARY</t>
        </is>
      </c>
    </row>
    <row r="2">
      <c r="A2" s="2" t="inlineStr">
        <is>
          <t>Department</t>
        </is>
      </c>
      <c r="B2" s="2" t="inlineStr">
        <is>
          <t>Line Items</t>
        </is>
      </c>
      <c r="C2" s="2" t="inlineStr">
        <is>
          <t>Subtotal</t>
        </is>
      </c>
    </row>
    <row r="3">
      <c r="A3" s="3" t="inlineStr">
        <is>
          <t>Props</t>
        </is>
      </c>
      <c r="B3" s="4">
        <f>COUNTA(Props!B2:B1000)</f>
        <v/>
      </c>
      <c r="C3" s="5">
        <f>SUM(Props!G2:G1000)</f>
        <v/>
      </c>
    </row>
    <row r="4">
      <c r="A4" s="3" t="inlineStr">
        <is>
          <t>Wardrobe</t>
        </is>
      </c>
      <c r="B4" s="4">
        <f>COUNTA(Wardrobe!B2:B1000)</f>
        <v/>
      </c>
      <c r="C4" s="5">
        <f>SUM(Wardrobe!G2:G1000)</f>
        <v/>
      </c>
    </row>
    <row r="5">
      <c r="A5" s="3" t="inlineStr">
        <is>
          <t>Art Dept</t>
        </is>
      </c>
      <c r="B5" s="4">
        <f>COUNTA('Art Dept'!B2:B1000)</f>
        <v/>
      </c>
      <c r="C5" s="5">
        <f>SUM('Art Dept'!G2:G1000)</f>
        <v/>
      </c>
    </row>
    <row r="6">
      <c r="A6" s="3" t="inlineStr">
        <is>
          <t>Camera</t>
        </is>
      </c>
      <c r="B6" s="4">
        <f>COUNTA(Camera!B2:B1000)</f>
        <v/>
      </c>
      <c r="C6" s="5">
        <f>SUM(Camera!G2:G1000)</f>
        <v/>
      </c>
    </row>
    <row r="7">
      <c r="A7" s="3" t="inlineStr">
        <is>
          <t>Grip &amp; Electric</t>
        </is>
      </c>
      <c r="B7" s="4">
        <f>COUNTA('Grip &amp; Electric'!B2:B1000)</f>
        <v/>
      </c>
      <c r="C7" s="5">
        <f>SUM('Grip &amp; Electric'!G2:G1000)</f>
        <v/>
      </c>
    </row>
    <row r="8">
      <c r="A8" s="3" t="inlineStr">
        <is>
          <t>Locations</t>
        </is>
      </c>
      <c r="B8" s="4">
        <f>COUNTA(Locations!B2:B1000)</f>
        <v/>
      </c>
      <c r="C8" s="5">
        <f>SUM(Locations!G2:G1000)</f>
        <v/>
      </c>
    </row>
    <row r="9">
      <c r="A9" s="3" t="inlineStr">
        <is>
          <t>Stunts &amp; Safety</t>
        </is>
      </c>
      <c r="B9" s="4">
        <f>COUNTA('Stunts &amp; Safety'!B2:B1000)</f>
        <v/>
      </c>
      <c r="C9" s="5">
        <f>SUM('Stunts &amp; Safety'!G2:G1000)</f>
        <v/>
      </c>
    </row>
    <row r="10">
      <c r="A10" s="3" t="inlineStr">
        <is>
          <t>VFX</t>
        </is>
      </c>
      <c r="B10" s="4">
        <f>COUNTA(VFX!B2:B1000)</f>
        <v/>
      </c>
      <c r="C10" s="5">
        <f>SUM(VFX!G2:G1000)</f>
        <v/>
      </c>
    </row>
    <row r="11">
      <c r="A11" s="3" t="inlineStr">
        <is>
          <t>Extras</t>
        </is>
      </c>
      <c r="B11" s="4">
        <f>COUNTA(Extras!B2:B1000)</f>
        <v/>
      </c>
      <c r="C11" s="5">
        <f>SUM(Extras!G2:G1000)</f>
        <v/>
      </c>
    </row>
    <row r="12">
      <c r="A12" s="3" t="inlineStr">
        <is>
          <t>Transportation</t>
        </is>
      </c>
      <c r="B12" s="4">
        <f>COUNTA(Transportation!B2:B1000)</f>
        <v/>
      </c>
      <c r="C12" s="5">
        <f>SUM(Transportation!G2:G1000)</f>
        <v/>
      </c>
    </row>
    <row r="13">
      <c r="A13" s="3" t="inlineStr">
        <is>
          <t>Catering</t>
        </is>
      </c>
      <c r="B13" s="4">
        <f>COUNTA(Catering!B2:B1000)</f>
        <v/>
      </c>
      <c r="C13" s="5">
        <f>SUM(Catering!G2:G1000)</f>
        <v/>
      </c>
    </row>
    <row r="14">
      <c r="A14" s="3" t="inlineStr">
        <is>
          <t>Sound</t>
        </is>
      </c>
      <c r="B14" s="4">
        <f>COUNTA(Sound!B2:B1000)</f>
        <v/>
      </c>
      <c r="C14" s="5">
        <f>SUM(Sound!G2:G1000)</f>
        <v/>
      </c>
    </row>
    <row r="15">
      <c r="A15" s="3" t="inlineStr">
        <is>
          <t>Miscellaneous</t>
        </is>
      </c>
      <c r="B15" s="4">
        <f>COUNTA(Miscellaneous!B2:B1000)</f>
        <v/>
      </c>
      <c r="C15" s="5">
        <f>SUM(Miscellaneous!G2:G1000)</f>
        <v/>
      </c>
    </row>
    <row r="16">
      <c r="A16" s="6" t="inlineStr">
        <is>
          <t>NOTE: Shoot Days (col N) must be filled manually for day-rate items before totals are accurate.</t>
        </is>
      </c>
    </row>
    <row r="17">
      <c r="A17" s="7" t="inlineStr">
        <is>
          <t>GRAND TOTAL</t>
        </is>
      </c>
      <c r="C17" s="8">
        <f>SUM(C3:C15)</f>
        <v/>
      </c>
    </row>
  </sheetData>
  <mergeCells count="2">
    <mergeCell ref="A1:C1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  <row r="2">
      <c r="A2" s="10" t="inlineStr">
        <is>
          <t>2</t>
        </is>
      </c>
      <c r="B2" s="10" t="inlineStr">
        <is>
          <t>Cigarette prop</t>
        </is>
      </c>
      <c r="C2" s="11" t="inlineStr">
        <is>
          <t>Unlit cigarette for Marlowe.</t>
        </is>
      </c>
      <c r="D2" s="10" t="n">
        <v>1</v>
      </c>
      <c r="E2" s="10" t="inlineStr">
        <is>
          <t>Purchase</t>
        </is>
      </c>
      <c r="F2" s="12" t="n"/>
      <c r="G2" s="13">
        <f>D2*F2</f>
        <v/>
      </c>
      <c r="H2" s="10" t="n"/>
      <c r="I2" s="10" t="n"/>
      <c r="J2" s="14" t="n">
        <v>2</v>
      </c>
      <c r="K2" s="15" t="inlineStr">
        <is>
          <t>unlit cigarette</t>
        </is>
      </c>
      <c r="L2" s="11" t="inlineStr"/>
      <c r="M2" s="16" t="inlineStr">
        <is>
          <t>High</t>
        </is>
      </c>
      <c r="N2" s="17" t="n"/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  <row r="2">
      <c r="A2" s="10" t="inlineStr">
        <is>
          <t>3</t>
        </is>
      </c>
      <c r="B2" s="10" t="inlineStr">
        <is>
          <t>Hotel bar set dressing (1940s)</t>
        </is>
      </c>
      <c r="C2" s="11" t="inlineStr">
        <is>
          <t>Period dressing for Atlas Hotel bar.</t>
        </is>
      </c>
      <c r="D2" s="10" t="n">
        <v>1</v>
      </c>
      <c r="E2" s="10" t="inlineStr">
        <is>
          <t>Rental-Week</t>
        </is>
      </c>
      <c r="F2" s="12" t="n"/>
      <c r="G2" s="13">
        <f>D2*F2</f>
        <v/>
      </c>
      <c r="H2" s="10" t="n"/>
      <c r="I2" s="10" t="n"/>
      <c r="J2" s="14" t="n">
        <v>3</v>
      </c>
      <c r="K2" s="15" t="inlineStr">
        <is>
          <t>shrine to the 1940s</t>
        </is>
      </c>
      <c r="L2" s="11" t="inlineStr">
        <is>
          <t>[DECISION NEEDED: Choose built set OR practical location - do not budget both]</t>
        </is>
      </c>
      <c r="M2" s="18" t="inlineStr">
        <is>
          <t>Medium</t>
        </is>
      </c>
      <c r="N2" s="17" t="n"/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  <row r="2">
      <c r="A2" s="10" t="inlineStr">
        <is>
          <t>1</t>
        </is>
      </c>
      <c r="B2" s="10" t="inlineStr">
        <is>
          <t>Primary Camera Package</t>
        </is>
      </c>
      <c r="C2" s="11" t="inlineStr">
        <is>
          <t>Camera body, 3 prime lenses, monitor, batteries x4, media x4, tripod.</t>
        </is>
      </c>
      <c r="D2" s="10" t="n">
        <v>1</v>
      </c>
      <c r="E2" s="10" t="inlineStr">
        <is>
          <t>Rental-Day</t>
        </is>
      </c>
      <c r="F2" s="12" t="n"/>
      <c r="G2" s="13">
        <f>D2*F2</f>
        <v/>
      </c>
      <c r="H2" s="10" t="n"/>
      <c r="I2" s="10" t="n"/>
      <c r="J2" s="14" t="n">
        <v>1</v>
      </c>
      <c r="K2" s="15" t="inlineStr"/>
      <c r="L2" s="11" t="inlineStr"/>
      <c r="M2" s="16" t="inlineStr">
        <is>
          <t>High</t>
        </is>
      </c>
      <c r="N2" s="17" t="n"/>
    </row>
    <row r="3">
      <c r="A3" s="19" t="inlineStr">
        <is>
          <t>4</t>
        </is>
      </c>
      <c r="B3" s="19" t="inlineStr">
        <is>
          <t>Drone unit + FAA-licensed operator</t>
        </is>
      </c>
      <c r="C3" s="20" t="inlineStr">
        <is>
          <t>Aerial shot over rooftop.</t>
        </is>
      </c>
      <c r="D3" s="19" t="n">
        <v>1</v>
      </c>
      <c r="E3" s="19" t="inlineStr">
        <is>
          <t>Rental-Day</t>
        </is>
      </c>
      <c r="F3" s="21" t="n"/>
      <c r="G3" s="22">
        <f>D3*F3</f>
        <v/>
      </c>
      <c r="H3" s="19" t="n"/>
      <c r="I3" s="19" t="n"/>
      <c r="J3" s="23" t="n">
        <v>4</v>
      </c>
      <c r="K3" s="24" t="inlineStr">
        <is>
          <t>A DRONE SHOT sweeps over the rooftop</t>
        </is>
      </c>
      <c r="L3" s="20" t="inlineStr"/>
      <c r="M3" s="25" t="inlineStr">
        <is>
          <t>High</t>
        </is>
      </c>
      <c r="N3" s="26" t="n"/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  <row r="2">
      <c r="A2" s="10" t="inlineStr">
        <is>
          <t>3</t>
        </is>
      </c>
      <c r="B2" s="10" t="inlineStr">
        <is>
          <t>Hotel bar location permit</t>
        </is>
      </c>
      <c r="C2" s="11" t="inlineStr">
        <is>
          <t>Permit for Atlas Hotel bar.</t>
        </is>
      </c>
      <c r="D2" s="10" t="n">
        <v>1</v>
      </c>
      <c r="E2" s="10" t="inlineStr">
        <is>
          <t>Rental-Day</t>
        </is>
      </c>
      <c r="F2" s="12" t="n"/>
      <c r="G2" s="13">
        <f>D2*F2</f>
        <v/>
      </c>
      <c r="H2" s="10" t="n"/>
      <c r="I2" s="10" t="n"/>
      <c r="J2" s="14" t="n">
        <v>3</v>
      </c>
      <c r="K2" s="15" t="inlineStr">
        <is>
          <t>shrine to the 1940s</t>
        </is>
      </c>
      <c r="L2" s="11" t="inlineStr">
        <is>
          <t>[DECISION NEEDED: Choose built set OR practical location - do not budget both]</t>
        </is>
      </c>
      <c r="M2" s="18" t="inlineStr">
        <is>
          <t>Medium</t>
        </is>
      </c>
      <c r="N2" s="17" t="n"/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  <row r="2">
      <c r="A2" s="10" t="inlineStr">
        <is>
          <t>4</t>
        </is>
      </c>
      <c r="B2" s="10" t="inlineStr">
        <is>
          <t>Stunt coordinator</t>
        </is>
      </c>
      <c r="C2" s="11" t="inlineStr">
        <is>
          <t>Three-story fall.</t>
        </is>
      </c>
      <c r="D2" s="10" t="n">
        <v>1</v>
      </c>
      <c r="E2" s="10" t="inlineStr">
        <is>
          <t>Day Rate</t>
        </is>
      </c>
      <c r="F2" s="12" t="n"/>
      <c r="G2" s="13">
        <f>D2*F2*N2</f>
        <v/>
      </c>
      <c r="H2" s="10" t="n"/>
      <c r="I2" s="10" t="n"/>
      <c r="J2" s="14" t="n">
        <v>4</v>
      </c>
      <c r="K2" s="15" t="inlineStr">
        <is>
          <t>falls three stories</t>
        </is>
      </c>
      <c r="L2" s="11" t="inlineStr">
        <is>
          <t>[DAY RATE - fill in Shoot Days (col N) to calculate total]</t>
        </is>
      </c>
      <c r="M2" s="16" t="inlineStr">
        <is>
          <t>High</t>
        </is>
      </c>
      <c r="N2" s="17" t="n"/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  <row r="2">
      <c r="A2" s="10" t="inlineStr">
        <is>
          <t>1</t>
        </is>
      </c>
      <c r="B2" s="10" t="inlineStr">
        <is>
          <t>Background extras</t>
        </is>
      </c>
      <c r="C2" s="11" t="inlineStr">
        <is>
          <t>Crowd for plaza.</t>
        </is>
      </c>
      <c r="D2" s="10" t="n">
        <v>200</v>
      </c>
      <c r="E2" s="10" t="inlineStr">
        <is>
          <t>Day Rate</t>
        </is>
      </c>
      <c r="F2" s="12" t="n"/>
      <c r="G2" s="13">
        <f>D2*F2*N2</f>
        <v/>
      </c>
      <c r="H2" s="10" t="n"/>
      <c r="I2" s="10" t="n"/>
      <c r="J2" s="14" t="n">
        <v>2</v>
      </c>
      <c r="K2" s="15" t="inlineStr">
        <is>
          <t>hundreds fill the plaza</t>
        </is>
      </c>
      <c r="L2" s="11" t="inlineStr">
        <is>
          <t>[DAY RATE - fill in Shoot Days (col N) to calculate total]</t>
        </is>
      </c>
      <c r="M2" s="18" t="inlineStr">
        <is>
          <t>Medium</t>
        </is>
      </c>
      <c r="N2" s="17" t="n"/>
    </row>
    <row r="3">
      <c r="A3" s="27" t="n"/>
      <c r="B3" s="28" t="inlineStr">
        <is>
          <t>PRINCIPAL CAST FEES</t>
        </is>
      </c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9" t="inlineStr">
        <is>
          <t>Enter manually from agent/talent contracts — not estimable by this tool.</t>
        </is>
      </c>
      <c r="M3" s="27" t="n"/>
      <c r="N3" s="27" t="n"/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  <row r="2">
      <c r="A2" s="10" t="inlineStr">
        <is>
          <t>5</t>
        </is>
      </c>
      <c r="B2" s="10" t="inlineStr">
        <is>
          <t>Picture vehicle — black sedan</t>
        </is>
      </c>
      <c r="C2" s="11" t="inlineStr">
        <is>
          <t>Hero sedan for car chase.</t>
        </is>
      </c>
      <c r="D2" s="10" t="n">
        <v>1</v>
      </c>
      <c r="E2" s="10" t="inlineStr">
        <is>
          <t>Day Rate</t>
        </is>
      </c>
      <c r="F2" s="12" t="n"/>
      <c r="G2" s="13">
        <f>D2*F2*N2</f>
        <v/>
      </c>
      <c r="H2" s="10" t="n"/>
      <c r="I2" s="10" t="n"/>
      <c r="J2" s="14" t="n">
        <v>5</v>
      </c>
      <c r="K2" s="15" t="inlineStr">
        <is>
          <t>A BLACK SEDAN tears around the corner</t>
        </is>
      </c>
      <c r="L2" s="11" t="inlineStr">
        <is>
          <t>[DAY RATE - fill in Shoot Days (col N) to calculate total] | [ESTIMATE ONLY - final cost depends on confirmed locations. Revisit after locations are locked]</t>
        </is>
      </c>
      <c r="M2" s="16" t="inlineStr">
        <is>
          <t>High</t>
        </is>
      </c>
      <c r="N2" s="17" t="n"/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2026-04-25T20:26:00Z</dcterms:created>
  <dcterms:modified xsi:type="dcterms:W3CDTF">2026-04-25T20:26:00Z</dcterms:modified>
</cp:coreProperties>
</file>
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ps" sheetId="2" state="visible" r:id="rId2"/>
    <sheet name="Wardrobe" sheetId="3" state="visible" r:id="rId3"/>
    <sheet name="Art Dept" sheetId="4" state="visible" r:id="rId4"/>
    <sheet name="Camera" sheetId="5" state="visible" r:id="rId5"/>
    <sheet name="Grip &amp; Electric" sheetId="6" state="visible" r:id="rId6"/>
    <sheet name="Locations" sheetId="7" state="visible" r:id="rId7"/>
    <sheet name="Stunts &amp; Safety" sheetId="8" state="visible" r:id="rId8"/>
    <sheet name="VFX" sheetId="9" state="visible" r:id="rId9"/>
    <sheet name="Cast &amp; Extras" sheetId="10" state="visible" r:id="rId10"/>
    <sheet name="Transportation" sheetId="11" state="visible" r:id="rId11"/>
    <sheet name="Catering" sheetId="12" state="visible" r:id="rId12"/>
    <sheet name="Sound" sheetId="13" state="visible" r:id="rId13"/>
    <sheet name="Miscellaneou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10"/>
    </font>
    <font>
      <color rgb="00385723"/>
      <sz val="10"/>
    </font>
    <font>
      <color rgb="000563C1"/>
      <sz val="10"/>
      <u val="single"/>
    </font>
    <font>
      <i val="1"/>
      <sz val="10"/>
    </font>
    <font>
      <b val="1"/>
      <color rgb="00375623"/>
      <sz val="10"/>
    </font>
    <font>
      <b val="1"/>
      <color rgb="00974706"/>
      <sz val="10"/>
    </font>
    <font>
      <b val="1"/>
      <sz val="10"/>
    </font>
    <font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3" fillId="3" borderId="0" applyAlignment="1" pivotButton="0" quotePrefix="0" xfId="0">
      <alignment wrapText="1"/>
    </xf>
    <xf numFmtId="164" fontId="3" fillId="3" borderId="0" pivotButton="0" quotePrefix="0" xfId="0"/>
    <xf numFmtId="164" fontId="4" fillId="3" borderId="0" pivotButton="0" quotePrefix="0" xfId="0"/>
    <xf numFmtId="0" fontId="5" fillId="3" borderId="0" pivotButton="0" quotePrefix="0" xfId="0"/>
    <xf numFmtId="0" fontId="6" fillId="3" borderId="0" applyAlignment="1" pivotButton="0" quotePrefix="0" xfId="0">
      <alignment wrapText="1"/>
    </xf>
    <xf numFmtId="0" fontId="7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164" fontId="3" fillId="4" borderId="0" pivotButton="0" quotePrefix="0" xfId="0"/>
    <xf numFmtId="164" fontId="4" fillId="4" borderId="0" pivotButton="0" quotePrefix="0" xfId="0"/>
    <xf numFmtId="0" fontId="5" fillId="4" borderId="0" pivotButton="0" quotePrefix="0" xfId="0"/>
    <xf numFmtId="0" fontId="6" fillId="4" borderId="0" applyAlignment="1" pivotButton="0" quotePrefix="0" xfId="0">
      <alignment wrapText="1"/>
    </xf>
    <xf numFmtId="0" fontId="7" fillId="4" borderId="0" pivotButton="0" quotePrefix="0" xfId="0"/>
    <xf numFmtId="0" fontId="8" fillId="3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Relationship Type="http://schemas.openxmlformats.org/officeDocument/2006/relationships/hyperlink" Target="file:///C:/Users/Becket%20Nelson/OneDrive/Claude%20Code%20Stuff/ScriptBreakdown/mock_script.pdf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Relationship Type="http://schemas.openxmlformats.org/officeDocument/2006/relationships/hyperlink" Target="file:///C:/Users/Becket%20Nelson/OneDrive/Claude%20Code%20Stuff/ScriptBreakdown/mock_script.pdf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Relationship Type="http://schemas.openxmlformats.org/officeDocument/2006/relationships/hyperlink" Target="file:///C:/Users/Becket%20Nelson/OneDrive/Claude%20Code%20Stuff/ScriptBreakdown/mock_script.pdf" TargetMode="External" Id="rId2" /><Relationship Type="http://schemas.openxmlformats.org/officeDocument/2006/relationships/hyperlink" Target="file:///C:/Users/Becket%20Nelson/OneDrive/Claude%20Code%20Stuff/ScriptBreakdown/mock_script.pdf" TargetMode="External" Id="rId3" /><Relationship Type="http://schemas.openxmlformats.org/officeDocument/2006/relationships/hyperlink" Target="file:///C:/Users/Becket%20Nelson/OneDrive/Claude%20Code%20Stuff/ScriptBreakdown/mock_script.pdf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Relationship Type="http://schemas.openxmlformats.org/officeDocument/2006/relationships/hyperlink" Target="file:///C:/Users/Becket%20Nelson/OneDrive/Claude%20Code%20Stuff/ScriptBreakdown/mock_script.pdf" TargetMode="External" Id="rId2" /><Relationship Type="http://schemas.openxmlformats.org/officeDocument/2006/relationships/hyperlink" Target="file:///C:/Users/Becket%20Nelson/OneDrive/Claude%20Code%20Stuff/ScriptBreakdown/mock_script.pdf" TargetMode="External" Id="rId3" /><Relationship Type="http://schemas.openxmlformats.org/officeDocument/2006/relationships/hyperlink" Target="file:///C:/Users/Becket%20Nelson/OneDrive/Claude%20Code%20Stuff/ScriptBreakdown/mock_script.pdf" TargetMode="External" Id="rId4" /></Relationships>
</file>

<file path=xl/worksheets/_rels/sheet9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" t="inlineStr">
        <is>
          <t>PRODUCTION BREAKDOWN SUMMARY</t>
        </is>
      </c>
    </row>
    <row r="2">
      <c r="A2" s="2" t="inlineStr">
        <is>
          <t>Department</t>
        </is>
      </c>
      <c r="B2" s="2" t="inlineStr">
        <is>
          <t>Line Items</t>
        </is>
      </c>
      <c r="C2" s="2" t="inlineStr">
        <is>
          <t>Subtotal</t>
        </is>
      </c>
    </row>
    <row r="3">
      <c r="A3" s="3" t="inlineStr">
        <is>
          <t>Props</t>
        </is>
      </c>
      <c r="B3" s="4">
        <f>COUNTA(Props!B2:B1000)</f>
        <v/>
      </c>
      <c r="C3" s="5">
        <f>SUM(Props!G2:G1000)</f>
        <v/>
      </c>
    </row>
    <row r="4">
      <c r="A4" s="3" t="inlineStr">
        <is>
          <t>Wardrobe</t>
        </is>
      </c>
      <c r="B4" s="4">
        <f>COUNTA(Wardrobe!B2:B1000)</f>
        <v/>
      </c>
      <c r="C4" s="5">
        <f>SUM(Wardrobe!G2:G1000)</f>
        <v/>
      </c>
    </row>
    <row r="5">
      <c r="A5" s="3" t="inlineStr">
        <is>
          <t>Art Dept</t>
        </is>
      </c>
      <c r="B5" s="4">
        <f>COUNTA('Art Dept'!B2:B1000)</f>
        <v/>
      </c>
      <c r="C5" s="5">
        <f>SUM('Art Dept'!G2:G1000)</f>
        <v/>
      </c>
    </row>
    <row r="6">
      <c r="A6" s="3" t="inlineStr">
        <is>
          <t>Camera</t>
        </is>
      </c>
      <c r="B6" s="4">
        <f>COUNTA(Camera!B2:B1000)</f>
        <v/>
      </c>
      <c r="C6" s="5">
        <f>SUM(Camera!G2:G1000)</f>
        <v/>
      </c>
    </row>
    <row r="7">
      <c r="A7" s="3" t="inlineStr">
        <is>
          <t>Grip &amp; Electric</t>
        </is>
      </c>
      <c r="B7" s="4">
        <f>COUNTA('Grip &amp; Electric'!B2:B1000)</f>
        <v/>
      </c>
      <c r="C7" s="5">
        <f>SUM('Grip &amp; Electric'!G2:G1000)</f>
        <v/>
      </c>
    </row>
    <row r="8">
      <c r="A8" s="3" t="inlineStr">
        <is>
          <t>Locations</t>
        </is>
      </c>
      <c r="B8" s="4">
        <f>COUNTA(Locations!B2:B1000)</f>
        <v/>
      </c>
      <c r="C8" s="5">
        <f>SUM(Locations!G2:G1000)</f>
        <v/>
      </c>
    </row>
    <row r="9">
      <c r="A9" s="3" t="inlineStr">
        <is>
          <t>Stunts &amp; Safety</t>
        </is>
      </c>
      <c r="B9" s="4">
        <f>COUNTA('Stunts &amp; Safety'!B2:B1000)</f>
        <v/>
      </c>
      <c r="C9" s="5">
        <f>SUM('Stunts &amp; Safety'!G2:G1000)</f>
        <v/>
      </c>
    </row>
    <row r="10">
      <c r="A10" s="3" t="inlineStr">
        <is>
          <t>VFX</t>
        </is>
      </c>
      <c r="B10" s="4">
        <f>COUNTA(VFX!B2:B1000)</f>
        <v/>
      </c>
      <c r="C10" s="5">
        <f>SUM(VFX!G2:G1000)</f>
        <v/>
      </c>
    </row>
    <row r="11">
      <c r="A11" s="3" t="inlineStr">
        <is>
          <t>Cast &amp; Extras</t>
        </is>
      </c>
      <c r="B11" s="4">
        <f>COUNTA('Cast &amp; Extras'!B2:B1000)</f>
        <v/>
      </c>
      <c r="C11" s="5">
        <f>SUM('Cast &amp; Extras'!G2:G1000)</f>
        <v/>
      </c>
    </row>
    <row r="12">
      <c r="A12" s="3" t="inlineStr">
        <is>
          <t>Transportation</t>
        </is>
      </c>
      <c r="B12" s="4">
        <f>COUNTA(Transportation!B2:B1000)</f>
        <v/>
      </c>
      <c r="C12" s="5">
        <f>SUM(Transportation!G2:G1000)</f>
        <v/>
      </c>
    </row>
    <row r="13">
      <c r="A13" s="3" t="inlineStr">
        <is>
          <t>Catering</t>
        </is>
      </c>
      <c r="B13" s="4">
        <f>COUNTA(Catering!B2:B1000)</f>
        <v/>
      </c>
      <c r="C13" s="5">
        <f>SUM(Catering!G2:G1000)</f>
        <v/>
      </c>
    </row>
    <row r="14">
      <c r="A14" s="3" t="inlineStr">
        <is>
          <t>Sound</t>
        </is>
      </c>
      <c r="B14" s="4">
        <f>COUNTA(Sound!B2:B1000)</f>
        <v/>
      </c>
      <c r="C14" s="5">
        <f>SUM(Sound!G2:G1000)</f>
        <v/>
      </c>
    </row>
    <row r="15">
      <c r="A15" s="3" t="inlineStr">
        <is>
          <t>Miscellaneous</t>
        </is>
      </c>
      <c r="B15" s="4">
        <f>COUNTA(Miscellaneous!B2:B1000)</f>
        <v/>
      </c>
      <c r="C15" s="5">
        <f>SUM(Miscellaneous!G2:G1000)</f>
        <v/>
      </c>
    </row>
    <row r="16">
      <c r="A16" s="6" t="inlineStr">
        <is>
          <t>GRAND TOTAL</t>
        </is>
      </c>
      <c r="C16" s="7">
        <f>SUM(C3:C15)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3</t>
        </is>
      </c>
      <c r="B2" s="9" t="inlineStr">
        <is>
          <t>Rotary phone</t>
        </is>
      </c>
      <c r="C2" s="10" t="inlineStr">
        <is>
          <t>Period-appropriate rotary phone for hotel bar counter.</t>
        </is>
      </c>
      <c r="D2" s="9" t="n">
        <v>1</v>
      </c>
      <c r="E2" s="9" t="inlineStr">
        <is>
          <t>Rental-Day</t>
        </is>
      </c>
      <c r="F2" s="11" t="n"/>
      <c r="G2" s="12">
        <f>D2*F2</f>
        <v/>
      </c>
      <c r="H2" s="9" t="n"/>
      <c r="I2" s="9" t="n"/>
      <c r="J2" s="13" t="n">
        <v>3</v>
      </c>
      <c r="K2" s="14" t="inlineStr">
        <is>
          <t>a rotary phone on the counter</t>
        </is>
      </c>
      <c r="L2" s="10" t="inlineStr"/>
      <c r="M2" s="15" t="inlineStr">
        <is>
          <t>High</t>
        </is>
      </c>
    </row>
    <row r="3">
      <c r="A3" s="16" t="inlineStr">
        <is>
          <t>5</t>
        </is>
      </c>
      <c r="B3" s="16" t="inlineStr">
        <is>
          <t>Prop pistol (licensed armourer)</t>
        </is>
      </c>
      <c r="C3" s="17" t="inlineStr">
        <is>
          <t>Prop firearm for assassin car chase sequence.</t>
        </is>
      </c>
      <c r="D3" s="16" t="n">
        <v>1</v>
      </c>
      <c r="E3" s="16" t="inlineStr">
        <is>
          <t>Rental-Day</t>
        </is>
      </c>
      <c r="F3" s="18" t="n"/>
      <c r="G3" s="19">
        <f>D3*F3</f>
        <v/>
      </c>
      <c r="H3" s="16" t="n"/>
      <c r="I3" s="16" t="n"/>
      <c r="J3" s="20" t="n">
        <v>5</v>
      </c>
      <c r="K3" s="21" t="inlineStr">
        <is>
          <t>the assassin leans from the sedan window and FIRES a pistol</t>
        </is>
      </c>
      <c r="L3" s="17" t="inlineStr">
        <is>
          <t>Licensed armourer legally required on set</t>
        </is>
      </c>
      <c r="M3" s="22" t="inlineStr">
        <is>
          <t>High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1</t>
        </is>
      </c>
      <c r="B2" s="9" t="inlineStr">
        <is>
          <t>Period costumes (1947)</t>
        </is>
      </c>
      <c r="C2" s="10" t="inlineStr">
        <is>
          <t>1940s wardrobe for all principal cast and extras.</t>
        </is>
      </c>
      <c r="D2" s="9" t="n">
        <v>1</v>
      </c>
      <c r="E2" s="9" t="inlineStr">
        <is>
          <t>Rental-Week</t>
        </is>
      </c>
      <c r="F2" s="11" t="n"/>
      <c r="G2" s="12">
        <f>D2*F2</f>
        <v/>
      </c>
      <c r="H2" s="9" t="n"/>
      <c r="I2" s="9" t="n"/>
      <c r="J2" s="13" t="n">
        <v>2</v>
      </c>
      <c r="K2" s="14" t="inlineStr">
        <is>
          <t>It is 1947. The streets glisten with the remnants of a downpour.</t>
        </is>
      </c>
      <c r="L2" s="10" t="inlineStr">
        <is>
          <t>Applies to all scenes</t>
        </is>
      </c>
      <c r="M2" s="23" t="inlineStr">
        <is>
          <t>Medium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6</t>
        </is>
      </c>
      <c r="B2" s="9" t="inlineStr">
        <is>
          <t>Artificial snow / ice materials</t>
        </is>
      </c>
      <c r="C2" s="10" t="inlineStr">
        <is>
          <t>Artificial snow effect for alley climax.</t>
        </is>
      </c>
      <c r="D2" s="9" t="n">
        <v>1</v>
      </c>
      <c r="E2" s="9" t="inlineStr">
        <is>
          <t>Purchase</t>
        </is>
      </c>
      <c r="F2" s="11" t="n"/>
      <c r="G2" s="12">
        <f>D2*F2</f>
        <v/>
      </c>
      <c r="H2" s="9" t="n"/>
      <c r="I2" s="9" t="n"/>
      <c r="J2" s="13" t="n">
        <v>6</v>
      </c>
      <c r="K2" s="14" t="inlineStr">
        <is>
          <t>Snow begins to fall -- thick, artificial-looking flakes that dust the alley</t>
        </is>
      </c>
      <c r="L2" s="10" t="inlineStr">
        <is>
          <t>Flag Locations for weather day</t>
        </is>
      </c>
      <c r="M2" s="15" t="inlineStr">
        <is>
          <t>High</t>
        </is>
      </c>
    </row>
    <row r="3">
      <c r="A3" s="16" t="inlineStr">
        <is>
          <t>1</t>
        </is>
      </c>
      <c r="B3" s="16" t="inlineStr">
        <is>
          <t>Period set dressing (1947)</t>
        </is>
      </c>
      <c r="C3" s="17" t="inlineStr">
        <is>
          <t>1940s era set dressing for all locations.</t>
        </is>
      </c>
      <c r="D3" s="16" t="n">
        <v>1</v>
      </c>
      <c r="E3" s="16" t="inlineStr">
        <is>
          <t>Rental-Week</t>
        </is>
      </c>
      <c r="F3" s="18" t="n"/>
      <c r="G3" s="19">
        <f>D3*F3</f>
        <v/>
      </c>
      <c r="H3" s="16" t="n"/>
      <c r="I3" s="16" t="n"/>
      <c r="J3" s="20" t="n">
        <v>2</v>
      </c>
      <c r="K3" s="21" t="inlineStr">
        <is>
          <t>It is 1947. The streets glisten with the remnants of a downpour.</t>
        </is>
      </c>
      <c r="L3" s="17" t="inlineStr"/>
      <c r="M3" s="24" t="inlineStr">
        <is>
          <t>Medium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4</t>
        </is>
      </c>
      <c r="B2" s="9" t="inlineStr">
        <is>
          <t>Drone unit + FAA-licensed operator</t>
        </is>
      </c>
      <c r="C2" s="10" t="inlineStr">
        <is>
          <t>Aerial drone shot over rooftop.</t>
        </is>
      </c>
      <c r="D2" s="9" t="n">
        <v>1</v>
      </c>
      <c r="E2" s="9" t="inlineStr">
        <is>
          <t>Rental-Day</t>
        </is>
      </c>
      <c r="F2" s="11" t="n"/>
      <c r="G2" s="12">
        <f>D2*F2</f>
        <v/>
      </c>
      <c r="H2" s="9" t="n"/>
      <c r="I2" s="9" t="n"/>
      <c r="J2" s="13" t="n">
        <v>4</v>
      </c>
      <c r="K2" s="14" t="inlineStr">
        <is>
          <t>A DRONE SHOT sweeps over the rooftop revealing the full scale</t>
        </is>
      </c>
      <c r="L2" s="10" t="inlineStr">
        <is>
          <t>Separate line from main camera package</t>
        </is>
      </c>
      <c r="M2" s="15" t="inlineStr">
        <is>
          <t>High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1</t>
        </is>
      </c>
      <c r="B2" s="9" t="inlineStr">
        <is>
          <t>Fog machine + fluid</t>
        </is>
      </c>
      <c r="C2" s="10" t="inlineStr">
        <is>
          <t>Practical fog effect for night plaza scene.</t>
        </is>
      </c>
      <c r="D2" s="9" t="n">
        <v>2</v>
      </c>
      <c r="E2" s="9" t="inlineStr">
        <is>
          <t>Rental-Day</t>
        </is>
      </c>
      <c r="F2" s="11" t="n"/>
      <c r="G2" s="12">
        <f>D2*F2</f>
        <v/>
      </c>
      <c r="H2" s="9" t="n"/>
      <c r="I2" s="9" t="n"/>
      <c r="J2" s="13" t="n">
        <v>2</v>
      </c>
      <c r="K2" s="14" t="inlineStr">
        <is>
          <t>A thick mist hangs low over the cobblestones of CITY PLAZA</t>
        </is>
      </c>
      <c r="L2" s="10" t="inlineStr">
        <is>
          <t>Check if VFX if supernatural</t>
        </is>
      </c>
      <c r="M2" s="15" t="inlineStr">
        <is>
          <t>High</t>
        </is>
      </c>
    </row>
    <row r="3">
      <c r="A3" s="16" t="inlineStr">
        <is>
          <t>1</t>
        </is>
      </c>
      <c r="B3" s="16" t="inlineStr">
        <is>
          <t>Rain tower / rain bar kit</t>
        </is>
      </c>
      <c r="C3" s="17" t="inlineStr">
        <is>
          <t>Practical rain rig for wet street effect.</t>
        </is>
      </c>
      <c r="D3" s="16" t="n">
        <v>1</v>
      </c>
      <c r="E3" s="16" t="inlineStr">
        <is>
          <t>Rental-Day</t>
        </is>
      </c>
      <c r="F3" s="18" t="n"/>
      <c r="G3" s="19">
        <f>D3*F3</f>
        <v/>
      </c>
      <c r="H3" s="16" t="n"/>
      <c r="I3" s="16" t="n"/>
      <c r="J3" s="20" t="n">
        <v>2</v>
      </c>
      <c r="K3" s="21" t="inlineStr">
        <is>
          <t>The streets glisten with the remnants of a downpour</t>
        </is>
      </c>
      <c r="L3" s="17" t="inlineStr">
        <is>
          <t>Coordinate with Locations re: drainage</t>
        </is>
      </c>
      <c r="M3" s="22" t="inlineStr">
        <is>
          <t>High</t>
        </is>
      </c>
    </row>
    <row r="4">
      <c r="A4" s="9" t="inlineStr">
        <is>
          <t>2</t>
        </is>
      </c>
      <c r="B4" s="9" t="inlineStr">
        <is>
          <t>Night lighting package</t>
        </is>
      </c>
      <c r="C4" s="10" t="inlineStr">
        <is>
          <t>Additional lighting cost for night exterior scenes.</t>
        </is>
      </c>
      <c r="D4" s="9" t="n">
        <v>1</v>
      </c>
      <c r="E4" s="9" t="inlineStr">
        <is>
          <t>Rental-Day</t>
        </is>
      </c>
      <c r="F4" s="11" t="n"/>
      <c r="G4" s="12">
        <f>D4*F4</f>
        <v/>
      </c>
      <c r="H4" s="9" t="n"/>
      <c r="I4" s="9" t="n"/>
      <c r="J4" s="13" t="n">
        <v>2</v>
      </c>
      <c r="K4" s="14" t="inlineStr">
        <is>
          <t>EXT. CITY PLAZA - NIGHT</t>
        </is>
      </c>
      <c r="L4" s="10" t="inlineStr">
        <is>
          <t>Applies to all NIGHT scenes</t>
        </is>
      </c>
      <c r="M4" s="15" t="inlineStr">
        <is>
          <t>High</t>
        </is>
      </c>
    </row>
    <row r="5">
      <c r="A5" s="16" t="inlineStr">
        <is>
          <t>3</t>
        </is>
      </c>
      <c r="B5" s="16" t="inlineStr">
        <is>
          <t>LED volume / projection rig</t>
        </is>
      </c>
      <c r="C5" s="17" t="inlineStr">
        <is>
          <t>LED wall for in-camera city skyline projection.</t>
        </is>
      </c>
      <c r="D5" s="16" t="n">
        <v>1</v>
      </c>
      <c r="E5" s="16" t="inlineStr">
        <is>
          <t>Rental-Week</t>
        </is>
      </c>
      <c r="F5" s="18" t="n"/>
      <c r="G5" s="19">
        <f>D5*F5</f>
        <v/>
      </c>
      <c r="H5" s="16" t="n"/>
      <c r="I5" s="16" t="n"/>
      <c r="J5" s="20" t="n">
        <v>3</v>
      </c>
      <c r="K5" s="21" t="inlineStr">
        <is>
          <t>a massive LED WALL cycles through a projected city skyline</t>
        </is>
      </c>
      <c r="L5" s="17" t="inlineStr">
        <is>
          <t>High-cost item - flag for producer review</t>
        </is>
      </c>
      <c r="M5" s="22" t="inlineStr">
        <is>
          <t>High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1</t>
        </is>
      </c>
      <c r="B2" s="9" t="inlineStr">
        <is>
          <t>Location permit + fees (City Plaza)</t>
        </is>
      </c>
      <c r="C2" s="10" t="inlineStr">
        <is>
          <t>Permit for exterior public plaza filming.</t>
        </is>
      </c>
      <c r="D2" s="9" t="n">
        <v>1</v>
      </c>
      <c r="E2" s="9" t="inlineStr">
        <is>
          <t>Rental-Day</t>
        </is>
      </c>
      <c r="F2" s="11" t="n"/>
      <c r="G2" s="12">
        <f>D2*F2</f>
        <v/>
      </c>
      <c r="H2" s="9" t="n"/>
      <c r="I2" s="9" t="n"/>
      <c r="J2" s="13" t="n">
        <v>2</v>
      </c>
      <c r="K2" s="14" t="inlineStr">
        <is>
          <t>EXT. CITY PLAZA - NIGHT</t>
        </is>
      </c>
      <c r="L2" s="10" t="inlineStr">
        <is>
          <t>Every exterior public location needs permit</t>
        </is>
      </c>
      <c r="M2" s="15" t="inlineStr">
        <is>
          <t>High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4</t>
        </is>
      </c>
      <c r="B2" s="9" t="inlineStr">
        <is>
          <t>Stunt coordinator + performer (fall)</t>
        </is>
      </c>
      <c r="C2" s="10" t="inlineStr">
        <is>
          <t>Three-story stunt fall off hotel rooftop.</t>
        </is>
      </c>
      <c r="D2" s="9" t="n">
        <v>1</v>
      </c>
      <c r="E2" s="9" t="inlineStr">
        <is>
          <t>Rental-Day</t>
        </is>
      </c>
      <c r="F2" s="11" t="n"/>
      <c r="G2" s="12">
        <f>D2*F2</f>
        <v/>
      </c>
      <c r="H2" s="9" t="n"/>
      <c r="I2" s="9" t="n"/>
      <c r="J2" s="13" t="n">
        <v>4</v>
      </c>
      <c r="K2" s="14" t="inlineStr">
        <is>
          <t>himself off the edge -- a three-story free fall, arms spread</t>
        </is>
      </c>
      <c r="L2" s="10" t="inlineStr"/>
      <c r="M2" s="15" t="inlineStr">
        <is>
          <t>High</t>
        </is>
      </c>
    </row>
    <row r="3">
      <c r="A3" s="16" t="inlineStr">
        <is>
          <t>5</t>
        </is>
      </c>
      <c r="B3" s="16" t="inlineStr">
        <is>
          <t>Stunt driver + coordinator</t>
        </is>
      </c>
      <c r="C3" s="17" t="inlineStr">
        <is>
          <t>Stunt driver for car chase sequence.</t>
        </is>
      </c>
      <c r="D3" s="16" t="n">
        <v>2</v>
      </c>
      <c r="E3" s="16" t="inlineStr">
        <is>
          <t>Rental-Day</t>
        </is>
      </c>
      <c r="F3" s="18" t="n"/>
      <c r="G3" s="19">
        <f>D3*F3</f>
        <v/>
      </c>
      <c r="H3" s="16" t="n"/>
      <c r="I3" s="16" t="n"/>
      <c r="J3" s="20" t="n">
        <v>5</v>
      </c>
      <c r="K3" s="21" t="inlineStr">
        <is>
          <t>A BLACK SEDAN tears around the corner fishtailing on the wet cobblestones</t>
        </is>
      </c>
      <c r="L3" s="17" t="inlineStr"/>
      <c r="M3" s="22" t="inlineStr">
        <is>
          <t>High</t>
        </is>
      </c>
    </row>
    <row r="4">
      <c r="A4" s="9" t="inlineStr">
        <is>
          <t>5</t>
        </is>
      </c>
      <c r="B4" s="9" t="inlineStr">
        <is>
          <t>On-set safety officer (armourer)</t>
        </is>
      </c>
      <c r="C4" s="10" t="inlineStr">
        <is>
          <t>Licensed armourer for prop firearm.</t>
        </is>
      </c>
      <c r="D4" s="9" t="n">
        <v>1</v>
      </c>
      <c r="E4" s="9" t="inlineStr">
        <is>
          <t>Rental-Day</t>
        </is>
      </c>
      <c r="F4" s="11" t="n"/>
      <c r="G4" s="12">
        <f>D4*F4</f>
        <v/>
      </c>
      <c r="H4" s="9" t="n"/>
      <c r="I4" s="9" t="n"/>
      <c r="J4" s="13" t="n">
        <v>5</v>
      </c>
      <c r="K4" s="14" t="inlineStr">
        <is>
          <t>the assassin leans from the sedan window and FIRES a pistol</t>
        </is>
      </c>
      <c r="L4" s="10" t="inlineStr"/>
      <c r="M4" s="15" t="inlineStr">
        <is>
          <t>High</t>
        </is>
      </c>
    </row>
    <row r="5">
      <c r="A5" s="16" t="inlineStr">
        <is>
          <t>6</t>
        </is>
      </c>
      <c r="B5" s="16" t="inlineStr">
        <is>
          <t>Practical explosion + safety coordinator</t>
        </is>
      </c>
      <c r="C5" s="17" t="inlineStr">
        <is>
          <t>Controlled explosion for wall demolition sequence.</t>
        </is>
      </c>
      <c r="D5" s="16" t="n">
        <v>1</v>
      </c>
      <c r="E5" s="16" t="inlineStr">
        <is>
          <t>Rental-Day</t>
        </is>
      </c>
      <c r="F5" s="18" t="n"/>
      <c r="G5" s="19">
        <f>D5*F5</f>
        <v/>
      </c>
      <c r="H5" s="16" t="n"/>
      <c r="I5" s="16" t="n"/>
      <c r="J5" s="20" t="n">
        <v>6</v>
      </c>
      <c r="K5" s="21" t="inlineStr">
        <is>
          <t>an EXPLOSION tears through the wall behind the assassin</t>
        </is>
      </c>
      <c r="L5" s="17" t="inlineStr">
        <is>
          <t>May also need VFX line item</t>
        </is>
      </c>
      <c r="M5" s="22" t="inlineStr">
        <is>
          <t>High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3</t>
        </is>
      </c>
      <c r="B2" s="9" t="inlineStr">
        <is>
          <t>VFX supervision (LED wall)</t>
        </is>
      </c>
      <c r="C2" s="10" t="inlineStr">
        <is>
          <t>VFX supervisor for LED wall plate integration.</t>
        </is>
      </c>
      <c r="D2" s="9" t="n">
        <v>1</v>
      </c>
      <c r="E2" s="9" t="inlineStr">
        <is>
          <t>Rental-Week</t>
        </is>
      </c>
      <c r="F2" s="11" t="n"/>
      <c r="G2" s="12">
        <f>D2*F2</f>
        <v/>
      </c>
      <c r="H2" s="9" t="n"/>
      <c r="I2" s="9" t="n"/>
      <c r="J2" s="13" t="n">
        <v>3</v>
      </c>
      <c r="K2" s="14" t="inlineStr">
        <is>
          <t>a massive LED WALL cycles through a projected city skyline</t>
        </is>
      </c>
      <c r="L2" s="10" t="inlineStr"/>
      <c r="M2" s="15" t="inlineStr">
        <is>
          <t>High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1</t>
        </is>
      </c>
      <c r="B2" s="9" t="inlineStr">
        <is>
          <t>Background extras</t>
        </is>
      </c>
      <c r="C2" s="10" t="inlineStr">
        <is>
          <t>Large crowd for City Plaza scene.</t>
        </is>
      </c>
      <c r="D2" s="9" t="n">
        <v>200</v>
      </c>
      <c r="E2" s="9" t="inlineStr">
        <is>
          <t>Rental-Day</t>
        </is>
      </c>
      <c r="F2" s="11" t="n"/>
      <c r="G2" s="12">
        <f>D2*F2</f>
        <v/>
      </c>
      <c r="H2" s="9" t="n"/>
      <c r="I2" s="9" t="n"/>
      <c r="J2" s="13" t="n">
        <v>2</v>
      </c>
      <c r="K2" s="14" t="inlineStr">
        <is>
          <t>Hundreds more fill the plaza behind them barely visible through the fog</t>
        </is>
      </c>
      <c r="L2" s="10" t="inlineStr">
        <is>
          <t>Quantity flagged Low confidence</t>
        </is>
      </c>
      <c r="M2" s="23" t="inlineStr">
        <is>
          <t>Medium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5</t>
        </is>
      </c>
      <c r="B2" s="9" t="inlineStr">
        <is>
          <t>Picture vehicles (sedan + cruiser)</t>
        </is>
      </c>
      <c r="C2" s="10" t="inlineStr">
        <is>
          <t>Two period picture vehicles for car chase.</t>
        </is>
      </c>
      <c r="D2" s="9" t="n">
        <v>2</v>
      </c>
      <c r="E2" s="9" t="inlineStr">
        <is>
          <t>Rental-Day</t>
        </is>
      </c>
      <c r="F2" s="11" t="n"/>
      <c r="G2" s="12">
        <f>D2*F2</f>
        <v/>
      </c>
      <c r="H2" s="9" t="n"/>
      <c r="I2" s="9" t="n"/>
      <c r="J2" s="13" t="n">
        <v>5</v>
      </c>
      <c r="K2" s="14" t="inlineStr">
        <is>
          <t>A BLACK SEDAN tears around the corner fishtailing on the wet cobblestones</t>
        </is>
      </c>
      <c r="L2" s="10" t="inlineStr"/>
      <c r="M2" s="15" t="inlineStr">
        <is>
          <t>High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3</t>
        </is>
      </c>
      <c r="B2" s="9" t="inlineStr">
        <is>
          <t>On-set catering</t>
        </is>
      </c>
      <c r="C2" s="10" t="inlineStr">
        <is>
          <t>Catering for cast and crew.</t>
        </is>
      </c>
      <c r="D2" s="9" t="n">
        <v>1</v>
      </c>
      <c r="E2" s="9" t="inlineStr">
        <is>
          <t>Rental-Day</t>
        </is>
      </c>
      <c r="F2" s="11" t="n"/>
      <c r="G2" s="12">
        <f>D2*F2</f>
        <v/>
      </c>
      <c r="H2" s="9" t="n"/>
      <c r="I2" s="9" t="n"/>
      <c r="J2" s="13" t="n">
        <v>3</v>
      </c>
      <c r="K2" s="14" t="inlineStr">
        <is>
          <t>catering trays are stacked near the service door</t>
        </is>
      </c>
      <c r="L2" s="10" t="inlineStr"/>
      <c r="M2" s="23" t="inlineStr">
        <is>
          <t>Medium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</cols>
  <sheetData>
    <row r="1">
      <c r="A1" s="8" t="inlineStr">
        <is>
          <t>Scene Number</t>
        </is>
      </c>
      <c r="B1" s="8" t="inlineStr">
        <is>
          <t>Item Name</t>
        </is>
      </c>
      <c r="C1" s="8" t="inlineStr">
        <is>
          <t>Description</t>
        </is>
      </c>
      <c r="D1" s="8" t="inlineStr">
        <is>
          <t>Quantity</t>
        </is>
      </c>
      <c r="E1" s="8" t="inlineStr">
        <is>
          <t>Unit Type</t>
        </is>
      </c>
      <c r="F1" s="8" t="inlineStr">
        <is>
          <t>Unit Price</t>
        </is>
      </c>
      <c r="G1" s="8" t="inlineStr">
        <is>
          <t>Total Cost</t>
        </is>
      </c>
      <c r="H1" s="8" t="inlineStr">
        <is>
          <t>Vendor</t>
        </is>
      </c>
      <c r="I1" s="8" t="inlineStr">
        <is>
          <t>Vendor URL</t>
        </is>
      </c>
      <c r="J1" s="8" t="inlineStr">
        <is>
          <t>Script Page</t>
        </is>
      </c>
      <c r="K1" s="8" t="inlineStr">
        <is>
          <t>Script Quote</t>
        </is>
      </c>
      <c r="L1" s="8" t="inlineStr">
        <is>
          <t>Notes</t>
        </is>
      </c>
      <c r="M1" s="8" t="inlineStr">
        <is>
          <t>Confidence</t>
        </is>
      </c>
    </row>
    <row r="2">
      <c r="A2" s="9" t="inlineStr">
        <is>
          <t>1</t>
        </is>
      </c>
      <c r="B2" s="9" t="inlineStr">
        <is>
          <t>Animal + licensed handler (dog)</t>
        </is>
      </c>
      <c r="C2" s="10" t="inlineStr">
        <is>
          <t>German Shepherd and licensed wrangler.</t>
        </is>
      </c>
      <c r="D2" s="9" t="n">
        <v>1</v>
      </c>
      <c r="E2" s="9" t="inlineStr">
        <is>
          <t>Rental-Day</t>
        </is>
      </c>
      <c r="F2" s="11" t="n"/>
      <c r="G2" s="12">
        <f>D2*F2</f>
        <v/>
      </c>
      <c r="H2" s="9" t="n"/>
      <c r="I2" s="9" t="n"/>
      <c r="J2" s="13" t="n">
        <v>2</v>
      </c>
      <c r="K2" s="14" t="inlineStr">
        <is>
          <t>A GERMAN SHEPHERD trots to Marlowe side, sits, and looks up</t>
        </is>
      </c>
      <c r="L2" s="10" t="inlineStr">
        <is>
          <t>Licensed wrangler legally required</t>
        </is>
      </c>
      <c r="M2" s="15" t="inlineStr">
        <is>
          <t>High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2026-04-16T23:32:51Z</dcterms:created>
  <dcterms:modified xsi:type="dcterms:W3CDTF">2026-04-16T23:32:51Z</dcterms:modified>
</cp:coreProperties>
</file>